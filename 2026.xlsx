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DATA\jadwal-imam-tarawih\"/>
    </mc:Choice>
  </mc:AlternateContent>
  <xr:revisionPtr revIDLastSave="0" documentId="13_ncr:1_{F0DAF77F-D82C-4800-86EC-7084F8EB8ED9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Pak Gatot" sheetId="2" r:id="rId1"/>
    <sheet name="Nomor WA" sheetId="6" r:id="rId2"/>
    <sheet name="DT" sheetId="1" r:id="rId3"/>
    <sheet name="Olah - Pak Gatot" sheetId="3" r:id="rId4"/>
    <sheet name="Sheet1" sheetId="5" r:id="rId5"/>
    <sheet name="Olah - Santri" sheetId="4" r:id="rId6"/>
  </sheets>
  <definedNames>
    <definedName name="_xlnm.Print_Area" localSheetId="2">DT!$A$1:$D$36</definedName>
  </definedNames>
  <calcPr calcId="181029"/>
</workbook>
</file>

<file path=xl/calcChain.xml><?xml version="1.0" encoding="utf-8"?>
<calcChain xmlns="http://schemas.openxmlformats.org/spreadsheetml/2006/main"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</calcChain>
</file>

<file path=xl/sharedStrings.xml><?xml version="1.0" encoding="utf-8"?>
<sst xmlns="http://schemas.openxmlformats.org/spreadsheetml/2006/main" count="746" uniqueCount="168">
  <si>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</si>
  <si>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</si>
  <si>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</si>
  <si>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</si>
  <si>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</si>
  <si>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</si>
  <si>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</si>
  <si>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</si>
  <si>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</si>
  <si>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</si>
  <si>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</si>
  <si>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</si>
  <si>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</si>
  <si>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</si>
  <si>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</si>
  <si>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✅</t>
  </si>
  <si>
    <t>Ustadz Andi Iskandar</t>
  </si>
  <si>
    <t>+62 822-5499-1016</t>
  </si>
  <si>
    <t>sudah oke</t>
  </si>
  <si>
    <t>Abdul Latip</t>
  </si>
  <si>
    <t>Daffa</t>
  </si>
  <si>
    <t>Ananda Daffa</t>
  </si>
  <si>
    <t>Ustadz Zaky</t>
  </si>
  <si>
    <t>+62 813-2469-8218</t>
  </si>
  <si>
    <t>Andi Iskandar</t>
  </si>
  <si>
    <t>Kholis</t>
  </si>
  <si>
    <t>Ananda Kholis</t>
  </si>
  <si>
    <t>Ustadz Yasser Hamzah</t>
  </si>
  <si>
    <t>+62 857-1920-7265</t>
  </si>
  <si>
    <t>Aswan</t>
  </si>
  <si>
    <t>Hanif</t>
  </si>
  <si>
    <t>Ananda Hanif</t>
  </si>
  <si>
    <t>Abdul Rifai</t>
  </si>
  <si>
    <t>Budi Prabowo</t>
  </si>
  <si>
    <t>Ustadz Wahidi Rahman</t>
  </si>
  <si>
    <t>+62 853-4580-0531</t>
  </si>
  <si>
    <t>sudah dikabarkan</t>
  </si>
  <si>
    <t>Chairid Daha</t>
  </si>
  <si>
    <t>+62 821-2322-6368</t>
  </si>
  <si>
    <t>Ustadz Aslam Abu Hanifah</t>
  </si>
  <si>
    <t>+62 852-4877-0627</t>
  </si>
  <si>
    <t>Lukman</t>
  </si>
  <si>
    <t>Ibrahim</t>
  </si>
  <si>
    <t>Imanuddin</t>
  </si>
  <si>
    <t>Ustadz Chairid Daha</t>
  </si>
  <si>
    <t>+62 813-4145-9342</t>
  </si>
  <si>
    <t>Komatsu Kumala Hastin</t>
  </si>
  <si>
    <t>Ananda Pahrezy</t>
  </si>
  <si>
    <t>Ustadz Rezky</t>
  </si>
  <si>
    <t>+62 813-5165-5536</t>
  </si>
  <si>
    <t>Miftahul Hadi</t>
  </si>
  <si>
    <t>Zakky</t>
  </si>
  <si>
    <t>Rezky Adistya</t>
  </si>
  <si>
    <t>Ustadz Latip</t>
  </si>
  <si>
    <t>Wachyu</t>
  </si>
  <si>
    <t>Wahidi Rahman</t>
  </si>
  <si>
    <t>Yuda</t>
  </si>
  <si>
    <t>Zen</t>
  </si>
  <si>
    <t>Ustadz Iman</t>
  </si>
  <si>
    <t>Ustadz Agus Fitriyanto</t>
  </si>
  <si>
    <t>+62 812-5000-5458</t>
  </si>
  <si>
    <t>Ananda Habib</t>
  </si>
  <si>
    <t>+62 852-1006-7327</t>
  </si>
  <si>
    <t>Ustadz Ngalal</t>
  </si>
  <si>
    <t>+62 853-8933-3869</t>
  </si>
  <si>
    <t>Ananda Royyan</t>
  </si>
  <si>
    <t>+62 813-4641-7124</t>
  </si>
  <si>
    <t>insya Allah</t>
  </si>
  <si>
    <t>Alumni sepuluh malam terakhir</t>
  </si>
  <si>
    <t>Ananda Zuhdi</t>
  </si>
  <si>
    <t>+62 852-4967-2832</t>
  </si>
  <si>
    <t>Ustadz Imanuddin</t>
  </si>
  <si>
    <t>+62 822-7418-0206</t>
  </si>
  <si>
    <t>(baru sekali)</t>
  </si>
  <si>
    <t>Ananda Firman</t>
  </si>
  <si>
    <t>+62 822-4124-5719</t>
  </si>
  <si>
    <t>Ustadz Muhammad Asmuni</t>
  </si>
  <si>
    <t>+62 812-5034-0349</t>
  </si>
  <si>
    <t>Ananda Hasyim</t>
  </si>
  <si>
    <t>+62 812-5384-450</t>
  </si>
  <si>
    <t xml:space="preserve">Bagi yang ingin mendapatkan salinan jadwal imam, silahkan ketik </t>
  </si>
  <si>
    <r>
      <rPr>
        <b/>
        <sz val="11"/>
        <color theme="1"/>
        <rFont val="Calibri"/>
        <charset val="134"/>
        <scheme val="minor"/>
      </rPr>
      <t>tarawih</t>
    </r>
    <r>
      <rPr>
        <sz val="11"/>
        <color theme="1"/>
        <rFont val="Calibri"/>
        <charset val="134"/>
        <scheme val="minor"/>
      </rPr>
      <t xml:space="preserve"> ke WA 0815-4514-3654</t>
    </r>
  </si>
  <si>
    <t>Abdul Rifai 3x harinya Senin atau kamis</t>
  </si>
  <si>
    <t>Musholla Baitul Hilmi, Jalan Monas</t>
  </si>
  <si>
    <t>+62 823-2004-0021</t>
  </si>
  <si>
    <t>+62 852-4603-5732</t>
  </si>
  <si>
    <t>+62 812-5804-5853</t>
  </si>
  <si>
    <t>+62 857-5422-7966</t>
  </si>
  <si>
    <t xml:space="preserve"> +62 815-4514-3654</t>
  </si>
  <si>
    <t>+62 853-8889-8918</t>
  </si>
  <si>
    <t>+62 851-5695-2623</t>
  </si>
  <si>
    <t>+62 898-5520-616</t>
  </si>
  <si>
    <t>+62 822-5282-6688</t>
  </si>
  <si>
    <t>Ramadhan ke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</si>
  <si>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</si>
  <si>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</si>
  <si>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</si>
  <si>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</si>
  <si>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</si>
  <si>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</si>
  <si>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</si>
  <si>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Ustadz Iskandar</t>
  </si>
  <si>
    <t>Mas Aswan</t>
  </si>
  <si>
    <t>Ustadz Budi</t>
  </si>
  <si>
    <t>Ustadz Chairid</t>
  </si>
  <si>
    <t>Mas Baim</t>
  </si>
  <si>
    <t>Komatsu</t>
  </si>
  <si>
    <t>Mas Lukman</t>
  </si>
  <si>
    <t>Ustadz Miftah</t>
  </si>
  <si>
    <t>+62 822-5130-3132</t>
  </si>
  <si>
    <t>Mas Wachyu</t>
  </si>
  <si>
    <t>+62 822-5506-5550</t>
  </si>
  <si>
    <t>Ustadz Wahidi</t>
  </si>
  <si>
    <t>Mas Yuda</t>
  </si>
  <si>
    <t>Ananda Hazwan (Alumni)</t>
  </si>
  <si>
    <t>Ananda Habib (Alumni)</t>
  </si>
  <si>
    <t>Ananda Royyan (Alumni)</t>
  </si>
  <si>
    <t>Ananda Zuhdi (Alumni)</t>
  </si>
  <si>
    <t>Ananda Hazwan</t>
  </si>
  <si>
    <t>+62 822-5346-8121</t>
  </si>
  <si>
    <t>Ananda Firman (Alumni)</t>
  </si>
  <si>
    <t>nggak siap</t>
  </si>
  <si>
    <t>Jadwal Petugas Kegiatan Tarawih Ramadhan 1447 H</t>
  </si>
  <si>
    <t>Ustadz Komatsu</t>
  </si>
  <si>
    <t>Ustadz Ibrahim</t>
  </si>
  <si>
    <t>Ustadz Romi</t>
  </si>
  <si>
    <t>Ustadz Wachyu</t>
  </si>
  <si>
    <t>Ustadz Zen</t>
  </si>
  <si>
    <t>Ustadz Yudha</t>
  </si>
  <si>
    <t>Ustadz Aswan</t>
  </si>
  <si>
    <t>Ustadz Hanif</t>
  </si>
  <si>
    <t>Ustadz Imam</t>
  </si>
  <si>
    <t>Ustadz Lukman</t>
  </si>
  <si>
    <t>Ustadz Rahmat</t>
  </si>
  <si>
    <t>Ustadz Sidiq</t>
  </si>
  <si>
    <t>Ustadz Zaki</t>
  </si>
  <si>
    <t>Nomor</t>
  </si>
  <si>
    <t>Keterangan</t>
  </si>
  <si>
    <t>Di DT</t>
  </si>
  <si>
    <t>o</t>
  </si>
  <si>
    <t>Nomor WA</t>
  </si>
  <si>
    <t>Ustadz Rahmad</t>
  </si>
  <si>
    <t>Assalamu'alaykum, ustadz menyampaikan rancangan jadwal Imam tarawih di Musholla Baitul Hilmi Monas</t>
  </si>
  <si>
    <t>Confirmed</t>
  </si>
  <si>
    <t>Ustadz Wahap</t>
  </si>
  <si>
    <t>Wahap Apdoellah</t>
  </si>
  <si>
    <t>Ustadz Danik</t>
  </si>
  <si>
    <t>082320040021</t>
  </si>
  <si>
    <t>082229432434</t>
  </si>
  <si>
    <t>081341459342</t>
  </si>
  <si>
    <t>085754227966</t>
  </si>
  <si>
    <t>085388898918</t>
  </si>
  <si>
    <t>082153442363</t>
  </si>
  <si>
    <t>082274180206</t>
  </si>
  <si>
    <t>082254991016</t>
  </si>
  <si>
    <t>082252826688</t>
  </si>
  <si>
    <t>082123226368</t>
  </si>
  <si>
    <t>085389333869</t>
  </si>
  <si>
    <t>081346326451</t>
  </si>
  <si>
    <t>081351655536</t>
  </si>
  <si>
    <t>085346751595</t>
  </si>
  <si>
    <t>082255065550</t>
  </si>
  <si>
    <t>085345800531</t>
  </si>
  <si>
    <t>08985520616</t>
  </si>
  <si>
    <t>081545143654</t>
  </si>
  <si>
    <t>081324698218</t>
  </si>
  <si>
    <t>081350170682</t>
  </si>
  <si>
    <t>Nama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</si>
</sst>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dd&quot;, &quot;dd\ mmmm\ yyyy"/>
  </numFmts>
  <fonts count="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2" fillId="0" borderId="0" xfId="0" applyFont="1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  <xf numFmtId="164" fontId="1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3" fillId="0" borderId="0" xfId="0" applyFont="1">
      <alignment vertical="center"/>
    </xf>
    <xf numFmtId="0" fontId="1" fillId="4" borderId="3" xfId="0" applyFont="1" applyFill="1" applyBorder="1">
      <alignment vertical="center"/>
    </xf>
    <xf numFmtId="0" fontId="1" fillId="0" borderId="3" xfId="0" applyFont="1" applyBorder="1">
      <alignment vertical="center"/>
    </xf>
    <xf numFmtId="49" fontId="2" fillId="0" borderId="0" xfId="0" applyNumberFormat="1" applyFont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0" fontId="3" fillId="4" borderId="3" xfId="0" applyFont="1" applyFill="1" applyBorder="1">
      <alignment vertical="center"/>
    </xf>
    <xf numFmtId="49" fontId="1" fillId="4" borderId="3" xfId="0" applyNumberFormat="1" applyFont="1" applyFill="1" applyBorder="1">
      <alignment vertical="center"/>
    </xf>
    <xf numFmtId="49" fontId="1" fillId="0" borderId="3" xfId="0" applyNumberFormat="1" applyFont="1" applyBorder="1">
      <alignment vertical="center"/>
    </xf>
    <xf numFmtId="0" fontId="1" fillId="4" borderId="4" xfId="0" applyFont="1" applyFill="1" applyBorder="1">
      <alignment vertical="center"/>
    </xf>
    <xf numFmtId="49" fontId="1" fillId="4" borderId="4" xfId="0" applyNumberFormat="1" applyFont="1" applyFill="1" applyBorder="1">
      <alignment vertical="center"/>
    </xf>
    <xf numFmtId="0" fontId="1" fillId="0" borderId="4" xfId="0" applyFont="1" applyBorder="1">
      <alignment vertical="center"/>
    </xf>
    <xf numFmtId="49" fontId="1" fillId="0" borderId="4" xfId="0" applyNumberFormat="1" applyFont="1" applyBorder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border outline="0"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0" formatCode="@"/>
    </dxf>
    <dxf>
      <numFmt numFmtId="164" formatCode="[$-421]dddd&quot;, &quot;dd\ 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5</xdr:row>
      <xdr:rowOff>0</xdr:rowOff>
    </xdr:from>
    <xdr:to>
      <xdr:col>17</xdr:col>
      <xdr:colOff>304800</xdr:colOff>
      <xdr:row>6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FCB5006A-A821-9E8A-4A8D-9504BB51AF98}"/>
            </a:ext>
          </a:extLst>
        </xdr:cNvPr>
        <xdr:cNvSpPr>
          <a:spLocks noChangeAspect="1" noChangeArrowheads="1"/>
        </xdr:cNvSpPr>
      </xdr:nvSpPr>
      <xdr:spPr bwMode="auto">
        <a:xfrm>
          <a:off x="12363450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6</xdr:row>
      <xdr:rowOff>0</xdr:rowOff>
    </xdr:from>
    <xdr:to>
      <xdr:col>17</xdr:col>
      <xdr:colOff>304800</xdr:colOff>
      <xdr:row>7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BE7BF7B3-2428-B76A-A5CD-BC40200D2B4F}"/>
            </a:ext>
          </a:extLst>
        </xdr:cNvPr>
        <xdr:cNvSpPr>
          <a:spLocks noChangeAspect="1" noChangeArrowheads="1"/>
        </xdr:cNvSpPr>
      </xdr:nvSpPr>
      <xdr:spPr bwMode="auto">
        <a:xfrm>
          <a:off x="1236345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0</xdr:row>
      <xdr:rowOff>0</xdr:rowOff>
    </xdr:from>
    <xdr:to>
      <xdr:col>18</xdr:col>
      <xdr:colOff>76200</xdr:colOff>
      <xdr:row>35</xdr:row>
      <xdr:rowOff>47625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886AC2F-9BFB-BDE7-2FC9-872489CF9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44075" y="0"/>
          <a:ext cx="6343650" cy="67151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672EF5-F5A6-4182-8647-3A86B3566FAB}" name="Table1" displayName="Table1" ref="A5:E34" totalsRowShown="0" headerRowDxfId="10">
  <autoFilter ref="A5:E34" xr:uid="{7F672EF5-F5A6-4182-8647-3A86B3566FAB}"/>
  <tableColumns count="5">
    <tableColumn id="1" xr3:uid="{EDA3354A-D911-4857-BDFD-2A76F68799B6}" name="Nomor" dataDxfId="9">
      <calculatedColumnFormula>A5+1</calculatedColumnFormula>
    </tableColumn>
    <tableColumn id="2" xr3:uid="{EE32957E-B020-43A5-93B6-4F4983A5B8C5}" name="Tanggal" dataDxfId="8"/>
    <tableColumn id="3" xr3:uid="{474FEB94-AA9D-4225-84A8-CAE68BC78718}" name="Imam"/>
    <tableColumn id="4" xr3:uid="{E9CF7577-A218-4BFC-BD73-D8F2523F2B45}" name="Keterangan"/>
    <tableColumn id="5" xr3:uid="{11BF8C20-01CD-49CD-96D6-A73B48384BCF}" name="Nomor WA" dataDxfId="7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63BB1F-E51B-43C0-AA2F-E1D6DB3DDCF7}" name="Table2" displayName="Table2" ref="A1:B30" totalsRowShown="0" headerRowDxfId="6" tableBorderDxfId="5">
  <autoFilter ref="A1:B30" xr:uid="{B463BB1F-E51B-43C0-AA2F-E1D6DB3DDCF7}"/>
  <sortState xmlns:xlrd2="http://schemas.microsoft.com/office/spreadsheetml/2017/richdata2" ref="A2:B30">
    <sortCondition ref="A1:A30"/>
  </sortState>
  <tableColumns count="2">
    <tableColumn id="1" xr3:uid="{A0750327-460A-4848-BB77-C819467CC83E}" name="Nama" dataDxfId="4"/>
    <tableColumn id="2" xr3:uid="{97DD37ED-3D7B-4850-8D30-26BB8E10C618}" name="Nomor W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68"/>
  <sheetViews>
    <sheetView tabSelected="1" workbookViewId="0">
      <selection activeCell="D34" sqref="D34"/>
    </sheetView>
  </sheetViews>
  <sheetFormatPr defaultColWidth="9.140625" defaultRowHeight="15"/>
  <cols>
    <col min="1" max="1" width="11.7109375" bestFit="1" customWidth="1"/>
    <col min="2" max="2" width="23.28515625" bestFit="1" customWidth="1"/>
    <col min="3" max="3" width="21.5703125" bestFit="1" customWidth="1"/>
    <col min="4" max="4" width="15.7109375" bestFit="1" customWidth="1"/>
    <col min="5" max="5" width="17.5703125" style="11" bestFit="1" customWidth="1"/>
    <col min="6" max="6" width="22.140625" bestFit="1" customWidth="1"/>
    <col min="7" max="7" width="17.5703125" bestFit="1" customWidth="1"/>
    <col min="8" max="8" width="21.5703125" bestFit="1" customWidth="1"/>
    <col min="10" max="10" width="36.28515625" bestFit="1" customWidth="1"/>
    <col min="11" max="11" width="17.5703125" bestFit="1" customWidth="1"/>
    <col min="13" max="13" width="21.5703125" bestFit="1" customWidth="1"/>
  </cols>
  <sheetData>
    <row r="2" spans="1:10">
      <c r="A2" s="27" t="s">
        <v>122</v>
      </c>
      <c r="B2" s="27"/>
      <c r="C2" s="27"/>
      <c r="D2" s="27"/>
      <c r="E2" s="18"/>
      <c r="F2" s="1"/>
      <c r="G2" s="1"/>
      <c r="H2" s="1" t="s">
        <v>145</v>
      </c>
      <c r="J2" t="s">
        <v>82</v>
      </c>
    </row>
    <row r="3" spans="1:10">
      <c r="A3" s="27" t="s">
        <v>83</v>
      </c>
      <c r="B3" s="27"/>
      <c r="C3" s="27"/>
      <c r="D3" s="27"/>
      <c r="E3" s="18"/>
      <c r="F3" s="1"/>
      <c r="G3" s="1"/>
    </row>
    <row r="5" spans="1:10">
      <c r="A5" s="1" t="s">
        <v>136</v>
      </c>
      <c r="B5" s="1" t="s">
        <v>7</v>
      </c>
      <c r="C5" s="1" t="s">
        <v>9</v>
      </c>
      <c r="D5" s="1" t="s">
        <v>137</v>
      </c>
      <c r="E5" s="19" t="s">
        <v>140</v>
      </c>
      <c r="F5" s="1"/>
      <c r="G5" s="1"/>
      <c r="H5" s="1" t="s">
        <v>138</v>
      </c>
    </row>
    <row r="6" spans="1:10">
      <c r="A6" s="5">
        <v>1</v>
      </c>
      <c r="B6" s="13">
        <v>46071</v>
      </c>
      <c r="C6" s="12" t="s">
        <v>129</v>
      </c>
      <c r="D6" s="15" t="s">
        <v>143</v>
      </c>
      <c r="E6" s="11" t="s">
        <v>147</v>
      </c>
      <c r="F6" s="3" t="s">
        <v>19</v>
      </c>
      <c r="G6" t="s">
        <v>38</v>
      </c>
      <c r="H6" t="s">
        <v>101</v>
      </c>
      <c r="J6" t="s">
        <v>129</v>
      </c>
    </row>
    <row r="7" spans="1:10">
      <c r="A7" s="5">
        <f t="shared" ref="A7:A34" si="0">A6+1</f>
        <v>2</v>
      </c>
      <c r="B7" s="13">
        <v>46072</v>
      </c>
      <c r="C7" s="12" t="s">
        <v>127</v>
      </c>
      <c r="D7" s="15" t="s">
        <v>143</v>
      </c>
      <c r="E7" s="11" t="s">
        <v>164</v>
      </c>
      <c r="F7" s="3" t="s">
        <v>24</v>
      </c>
      <c r="G7" t="s">
        <v>17</v>
      </c>
      <c r="H7" t="s">
        <v>34</v>
      </c>
      <c r="J7" t="s">
        <v>103</v>
      </c>
    </row>
    <row r="8" spans="1:10">
      <c r="A8" s="5">
        <f t="shared" si="0"/>
        <v>3</v>
      </c>
      <c r="B8" s="13">
        <v>46073</v>
      </c>
      <c r="C8" s="12" t="s">
        <v>104</v>
      </c>
      <c r="D8" s="15" t="s">
        <v>143</v>
      </c>
      <c r="E8" s="11" t="s">
        <v>149</v>
      </c>
      <c r="F8" s="3" t="s">
        <v>29</v>
      </c>
      <c r="G8" t="s">
        <v>84</v>
      </c>
      <c r="H8" t="s">
        <v>71</v>
      </c>
      <c r="J8" t="s">
        <v>104</v>
      </c>
    </row>
    <row r="9" spans="1:10">
      <c r="A9" s="5">
        <f t="shared" si="0"/>
        <v>4</v>
      </c>
      <c r="B9" s="13">
        <v>46074</v>
      </c>
      <c r="C9" s="12" t="s">
        <v>130</v>
      </c>
      <c r="D9" s="15" t="s">
        <v>143</v>
      </c>
      <c r="E9" s="11" t="s">
        <v>150</v>
      </c>
      <c r="F9" s="3" t="s">
        <v>32</v>
      </c>
      <c r="G9" s="5" t="s">
        <v>85</v>
      </c>
      <c r="H9" t="s">
        <v>139</v>
      </c>
      <c r="J9" t="s">
        <v>130</v>
      </c>
    </row>
    <row r="10" spans="1:10">
      <c r="A10" s="5">
        <f t="shared" si="0"/>
        <v>5</v>
      </c>
      <c r="B10" s="13">
        <v>46075</v>
      </c>
      <c r="C10" s="12" t="s">
        <v>124</v>
      </c>
      <c r="D10" s="15" t="s">
        <v>143</v>
      </c>
      <c r="E10" s="11" t="s">
        <v>151</v>
      </c>
      <c r="F10" s="3" t="s">
        <v>33</v>
      </c>
      <c r="G10" t="s">
        <v>86</v>
      </c>
      <c r="H10" t="s">
        <v>63</v>
      </c>
      <c r="J10" t="s">
        <v>124</v>
      </c>
    </row>
    <row r="11" spans="1:10">
      <c r="A11" s="5">
        <f t="shared" si="0"/>
        <v>6</v>
      </c>
      <c r="B11" s="13">
        <v>46076</v>
      </c>
      <c r="C11" s="12" t="s">
        <v>131</v>
      </c>
      <c r="D11" t="s">
        <v>143</v>
      </c>
      <c r="E11" s="11" t="s">
        <v>152</v>
      </c>
      <c r="F11" s="3" t="s">
        <v>37</v>
      </c>
      <c r="G11" t="s">
        <v>45</v>
      </c>
      <c r="H11" t="s">
        <v>132</v>
      </c>
      <c r="J11" t="s">
        <v>131</v>
      </c>
    </row>
    <row r="12" spans="1:10">
      <c r="A12" s="5">
        <f t="shared" si="0"/>
        <v>7</v>
      </c>
      <c r="B12" s="13">
        <v>46077</v>
      </c>
      <c r="C12" s="12" t="s">
        <v>71</v>
      </c>
      <c r="D12" s="15" t="s">
        <v>143</v>
      </c>
      <c r="E12" s="11" t="s">
        <v>153</v>
      </c>
      <c r="F12" s="3" t="s">
        <v>30</v>
      </c>
      <c r="G12" t="s">
        <v>87</v>
      </c>
      <c r="H12" t="s">
        <v>53</v>
      </c>
      <c r="J12" t="s">
        <v>71</v>
      </c>
    </row>
    <row r="13" spans="1:10">
      <c r="A13" s="5">
        <f t="shared" si="0"/>
        <v>8</v>
      </c>
      <c r="B13" s="13">
        <v>46078</v>
      </c>
      <c r="C13" s="12" t="s">
        <v>101</v>
      </c>
      <c r="D13" t="s">
        <v>143</v>
      </c>
      <c r="E13" s="11" t="s">
        <v>154</v>
      </c>
      <c r="F13" s="3" t="s">
        <v>57</v>
      </c>
      <c r="G13" t="s">
        <v>88</v>
      </c>
      <c r="H13" t="s">
        <v>48</v>
      </c>
      <c r="J13" t="s">
        <v>101</v>
      </c>
    </row>
    <row r="14" spans="1:10">
      <c r="A14" s="5">
        <f t="shared" si="0"/>
        <v>9</v>
      </c>
      <c r="B14" s="13">
        <v>46079</v>
      </c>
      <c r="C14" s="12" t="s">
        <v>123</v>
      </c>
      <c r="D14" s="15" t="s">
        <v>143</v>
      </c>
      <c r="E14" s="11" t="s">
        <v>155</v>
      </c>
      <c r="F14" s="3" t="s">
        <v>43</v>
      </c>
      <c r="G14" t="s">
        <v>72</v>
      </c>
      <c r="H14" t="s">
        <v>135</v>
      </c>
      <c r="J14" t="s">
        <v>123</v>
      </c>
    </row>
    <row r="15" spans="1:10">
      <c r="A15" s="5">
        <f t="shared" si="0"/>
        <v>10</v>
      </c>
      <c r="B15" s="13">
        <v>46080</v>
      </c>
      <c r="C15" s="12" t="s">
        <v>53</v>
      </c>
      <c r="D15" s="15" t="s">
        <v>143</v>
      </c>
      <c r="E15" s="11" t="s">
        <v>156</v>
      </c>
      <c r="F15" s="3" t="s">
        <v>42</v>
      </c>
      <c r="G15" t="s">
        <v>89</v>
      </c>
      <c r="H15" t="s">
        <v>130</v>
      </c>
      <c r="J15" t="s">
        <v>53</v>
      </c>
    </row>
    <row r="16" spans="1:10">
      <c r="A16" s="5">
        <f t="shared" si="0"/>
        <v>11</v>
      </c>
      <c r="B16" s="13">
        <v>46081</v>
      </c>
      <c r="C16" s="12" t="s">
        <v>132</v>
      </c>
      <c r="D16" t="s">
        <v>143</v>
      </c>
      <c r="E16" s="11" t="s">
        <v>150</v>
      </c>
      <c r="F16" s="3" t="s">
        <v>30</v>
      </c>
      <c r="G16" t="s">
        <v>90</v>
      </c>
      <c r="H16" t="s">
        <v>127</v>
      </c>
      <c r="J16" t="s">
        <v>132</v>
      </c>
    </row>
    <row r="17" spans="1:10">
      <c r="A17" s="5">
        <f t="shared" si="0"/>
        <v>12</v>
      </c>
      <c r="B17" s="13">
        <v>46082</v>
      </c>
      <c r="C17" s="12" t="s">
        <v>63</v>
      </c>
      <c r="D17" s="15" t="s">
        <v>143</v>
      </c>
      <c r="E17" s="11" t="s">
        <v>157</v>
      </c>
      <c r="F17" s="3" t="s">
        <v>43</v>
      </c>
      <c r="G17" t="s">
        <v>72</v>
      </c>
      <c r="H17" t="s">
        <v>131</v>
      </c>
      <c r="J17" t="s">
        <v>63</v>
      </c>
    </row>
    <row r="18" spans="1:10">
      <c r="A18" s="5">
        <f t="shared" si="0"/>
        <v>13</v>
      </c>
      <c r="B18" s="13">
        <v>46083</v>
      </c>
      <c r="C18" s="12" t="s">
        <v>141</v>
      </c>
      <c r="E18" s="11" t="s">
        <v>158</v>
      </c>
      <c r="F18" s="3" t="s">
        <v>52</v>
      </c>
      <c r="G18" t="s">
        <v>49</v>
      </c>
      <c r="H18" t="s">
        <v>101</v>
      </c>
      <c r="J18" t="s">
        <v>133</v>
      </c>
    </row>
    <row r="19" spans="1:10">
      <c r="A19" s="5">
        <f t="shared" si="0"/>
        <v>14</v>
      </c>
      <c r="B19" s="13">
        <v>46084</v>
      </c>
      <c r="C19" s="12" t="s">
        <v>48</v>
      </c>
      <c r="D19" s="15" t="s">
        <v>143</v>
      </c>
      <c r="E19" s="11" t="s">
        <v>159</v>
      </c>
      <c r="F19" s="3" t="s">
        <v>32</v>
      </c>
      <c r="G19" s="5" t="s">
        <v>85</v>
      </c>
      <c r="H19" t="s">
        <v>34</v>
      </c>
      <c r="J19" t="s">
        <v>48</v>
      </c>
    </row>
    <row r="20" spans="1:10">
      <c r="A20" s="5">
        <f t="shared" si="0"/>
        <v>15</v>
      </c>
      <c r="B20" s="13">
        <v>46085</v>
      </c>
      <c r="C20" s="12" t="s">
        <v>125</v>
      </c>
      <c r="E20" s="11" t="s">
        <v>160</v>
      </c>
      <c r="F20" s="3" t="s">
        <v>30</v>
      </c>
      <c r="G20" t="s">
        <v>90</v>
      </c>
      <c r="H20" t="s">
        <v>71</v>
      </c>
      <c r="J20" t="s">
        <v>125</v>
      </c>
    </row>
    <row r="21" spans="1:10">
      <c r="A21" s="5">
        <f t="shared" si="0"/>
        <v>16</v>
      </c>
      <c r="B21" s="13">
        <v>46086</v>
      </c>
      <c r="C21" s="12" t="s">
        <v>123</v>
      </c>
      <c r="D21" t="s">
        <v>143</v>
      </c>
      <c r="E21" s="11" t="s">
        <v>155</v>
      </c>
      <c r="F21" s="3" t="s">
        <v>55</v>
      </c>
      <c r="G21" t="s">
        <v>35</v>
      </c>
      <c r="H21" t="s">
        <v>128</v>
      </c>
      <c r="J21" t="s">
        <v>134</v>
      </c>
    </row>
    <row r="22" spans="1:10">
      <c r="A22" s="5">
        <f t="shared" si="0"/>
        <v>17</v>
      </c>
      <c r="B22" s="13">
        <v>46087</v>
      </c>
      <c r="C22" s="12" t="s">
        <v>126</v>
      </c>
      <c r="E22" s="11" t="s">
        <v>161</v>
      </c>
      <c r="F22" s="3" t="s">
        <v>56</v>
      </c>
      <c r="G22" t="s">
        <v>91</v>
      </c>
      <c r="H22" t="s">
        <v>104</v>
      </c>
      <c r="J22" t="s">
        <v>126</v>
      </c>
    </row>
    <row r="23" spans="1:10">
      <c r="A23" s="5">
        <f t="shared" si="0"/>
        <v>18</v>
      </c>
      <c r="B23" s="13">
        <v>46088</v>
      </c>
      <c r="C23" s="12" t="s">
        <v>34</v>
      </c>
      <c r="D23" t="s">
        <v>143</v>
      </c>
      <c r="E23" s="11" t="s">
        <v>162</v>
      </c>
      <c r="F23" s="3" t="s">
        <v>51</v>
      </c>
      <c r="G23" t="s">
        <v>23</v>
      </c>
      <c r="H23" t="s">
        <v>53</v>
      </c>
      <c r="J23" t="s">
        <v>34</v>
      </c>
    </row>
    <row r="24" spans="1:10">
      <c r="A24" s="5">
        <f t="shared" si="0"/>
        <v>19</v>
      </c>
      <c r="B24" s="13">
        <v>46089</v>
      </c>
      <c r="C24" s="12" t="s">
        <v>128</v>
      </c>
      <c r="D24" s="15" t="s">
        <v>143</v>
      </c>
      <c r="E24" s="11" t="s">
        <v>163</v>
      </c>
      <c r="F24" s="3" t="s">
        <v>46</v>
      </c>
      <c r="G24" t="s">
        <v>92</v>
      </c>
      <c r="H24" t="s">
        <v>48</v>
      </c>
      <c r="J24" t="s">
        <v>128</v>
      </c>
    </row>
    <row r="25" spans="1:10">
      <c r="A25" s="5">
        <f t="shared" si="0"/>
        <v>20</v>
      </c>
      <c r="B25" s="13">
        <v>46090</v>
      </c>
      <c r="C25" s="12" t="s">
        <v>127</v>
      </c>
      <c r="D25" s="15" t="s">
        <v>143</v>
      </c>
      <c r="E25" s="11" t="s">
        <v>164</v>
      </c>
      <c r="F25" s="3" t="s">
        <v>19</v>
      </c>
      <c r="G25" t="s">
        <v>38</v>
      </c>
      <c r="H25" t="s">
        <v>135</v>
      </c>
      <c r="J25" t="s">
        <v>135</v>
      </c>
    </row>
    <row r="26" spans="1:10">
      <c r="A26" s="5">
        <f t="shared" si="0"/>
        <v>21</v>
      </c>
      <c r="B26" s="13">
        <v>46091</v>
      </c>
      <c r="C26" s="12" t="s">
        <v>135</v>
      </c>
      <c r="D26" t="s">
        <v>143</v>
      </c>
      <c r="E26" s="11" t="s">
        <v>165</v>
      </c>
      <c r="F26" s="3" t="s">
        <v>24</v>
      </c>
      <c r="G26" t="s">
        <v>17</v>
      </c>
      <c r="H26" t="s">
        <v>130</v>
      </c>
      <c r="J26" t="s">
        <v>127</v>
      </c>
    </row>
    <row r="27" spans="1:10">
      <c r="A27" s="5">
        <f t="shared" si="0"/>
        <v>22</v>
      </c>
      <c r="B27" s="13">
        <v>46092</v>
      </c>
      <c r="C27" t="s">
        <v>130</v>
      </c>
      <c r="D27" s="15"/>
      <c r="E27" s="11" t="s">
        <v>150</v>
      </c>
      <c r="F27" s="3" t="s">
        <v>46</v>
      </c>
      <c r="G27" t="s">
        <v>92</v>
      </c>
      <c r="H27" t="s">
        <v>132</v>
      </c>
    </row>
    <row r="28" spans="1:10">
      <c r="A28" s="5">
        <f t="shared" si="0"/>
        <v>23</v>
      </c>
      <c r="B28" s="14">
        <v>46093</v>
      </c>
      <c r="C28" s="15" t="s">
        <v>146</v>
      </c>
      <c r="D28" s="15" t="s">
        <v>143</v>
      </c>
      <c r="E28" s="11" t="s">
        <v>166</v>
      </c>
      <c r="F28" s="3" t="s">
        <v>33</v>
      </c>
      <c r="G28" t="s">
        <v>86</v>
      </c>
      <c r="H28" t="s">
        <v>53</v>
      </c>
    </row>
    <row r="29" spans="1:10">
      <c r="A29" s="5">
        <f t="shared" si="0"/>
        <v>24</v>
      </c>
      <c r="B29" s="14">
        <v>46094</v>
      </c>
      <c r="C29" t="s">
        <v>104</v>
      </c>
      <c r="D29" s="15" t="s">
        <v>143</v>
      </c>
      <c r="E29" s="11" t="s">
        <v>149</v>
      </c>
      <c r="F29" s="3" t="s">
        <v>37</v>
      </c>
      <c r="G29" t="s">
        <v>45</v>
      </c>
      <c r="H29" t="s">
        <v>128</v>
      </c>
    </row>
    <row r="30" spans="1:10">
      <c r="A30" s="5">
        <f t="shared" si="0"/>
        <v>25</v>
      </c>
      <c r="B30" s="14">
        <v>46095</v>
      </c>
      <c r="C30" t="s">
        <v>130</v>
      </c>
      <c r="D30" s="15" t="s">
        <v>143</v>
      </c>
      <c r="E30" s="11" t="s">
        <v>150</v>
      </c>
      <c r="F30" s="3" t="s">
        <v>32</v>
      </c>
      <c r="G30" s="5" t="s">
        <v>85</v>
      </c>
      <c r="H30" t="s">
        <v>34</v>
      </c>
      <c r="J30" s="12"/>
    </row>
    <row r="31" spans="1:10">
      <c r="A31" s="5">
        <f t="shared" si="0"/>
        <v>26</v>
      </c>
      <c r="B31" s="14">
        <v>46096</v>
      </c>
      <c r="C31" t="s">
        <v>124</v>
      </c>
      <c r="D31" s="15" t="s">
        <v>143</v>
      </c>
      <c r="E31" s="11" t="s">
        <v>151</v>
      </c>
      <c r="F31" s="3" t="s">
        <v>30</v>
      </c>
      <c r="G31" t="s">
        <v>90</v>
      </c>
      <c r="H31" t="s">
        <v>71</v>
      </c>
    </row>
    <row r="32" spans="1:10">
      <c r="A32" s="5">
        <f t="shared" si="0"/>
        <v>27</v>
      </c>
      <c r="B32" s="14">
        <v>46097</v>
      </c>
      <c r="C32" s="12" t="s">
        <v>53</v>
      </c>
      <c r="D32" s="15"/>
      <c r="E32" s="11" t="s">
        <v>156</v>
      </c>
      <c r="F32" s="3" t="s">
        <v>42</v>
      </c>
      <c r="G32" t="s">
        <v>89</v>
      </c>
      <c r="H32" t="s">
        <v>63</v>
      </c>
    </row>
    <row r="33" spans="1:11">
      <c r="A33" s="5">
        <f t="shared" si="0"/>
        <v>28</v>
      </c>
      <c r="B33" s="14">
        <v>46098</v>
      </c>
      <c r="C33" t="s">
        <v>101</v>
      </c>
      <c r="D33" t="s">
        <v>143</v>
      </c>
      <c r="E33" s="11" t="s">
        <v>154</v>
      </c>
      <c r="F33" s="3" t="s">
        <v>51</v>
      </c>
      <c r="G33" t="s">
        <v>23</v>
      </c>
      <c r="H33" t="s">
        <v>124</v>
      </c>
    </row>
    <row r="34" spans="1:11">
      <c r="A34" s="5">
        <f t="shared" si="0"/>
        <v>29</v>
      </c>
      <c r="B34" s="14">
        <v>46099</v>
      </c>
      <c r="C34" t="s">
        <v>71</v>
      </c>
      <c r="D34" s="15" t="s">
        <v>143</v>
      </c>
      <c r="E34" s="11" t="s">
        <v>153</v>
      </c>
      <c r="F34" s="3" t="s">
        <v>51</v>
      </c>
      <c r="G34" t="s">
        <v>23</v>
      </c>
      <c r="H34" t="s">
        <v>101</v>
      </c>
    </row>
    <row r="35" spans="1:11">
      <c r="F35" s="3" t="s">
        <v>46</v>
      </c>
      <c r="G35" t="s">
        <v>92</v>
      </c>
    </row>
    <row r="36" spans="1:11">
      <c r="B36" s="28" t="s">
        <v>142</v>
      </c>
      <c r="C36" s="28"/>
      <c r="D36" s="28"/>
      <c r="E36" s="28"/>
      <c r="F36" s="28"/>
      <c r="G36" s="28"/>
      <c r="H36" s="28"/>
      <c r="I36" s="28"/>
      <c r="J36" s="28"/>
    </row>
    <row r="39" spans="1:11">
      <c r="J39" s="3" t="s">
        <v>19</v>
      </c>
      <c r="K39" t="s">
        <v>38</v>
      </c>
    </row>
    <row r="40" spans="1:11">
      <c r="J40" s="3" t="s">
        <v>24</v>
      </c>
      <c r="K40" t="s">
        <v>17</v>
      </c>
    </row>
    <row r="41" spans="1:11">
      <c r="J41" s="3" t="s">
        <v>29</v>
      </c>
      <c r="K41" t="s">
        <v>84</v>
      </c>
    </row>
    <row r="42" spans="1:11">
      <c r="J42" s="3" t="s">
        <v>32</v>
      </c>
      <c r="K42" s="5" t="s">
        <v>85</v>
      </c>
    </row>
    <row r="43" spans="1:11">
      <c r="J43" s="3" t="s">
        <v>33</v>
      </c>
      <c r="K43" t="s">
        <v>86</v>
      </c>
    </row>
    <row r="44" spans="1:11">
      <c r="J44" s="3" t="s">
        <v>37</v>
      </c>
      <c r="K44" t="s">
        <v>45</v>
      </c>
    </row>
    <row r="45" spans="1:11">
      <c r="J45" s="3" t="s">
        <v>30</v>
      </c>
      <c r="K45" t="s">
        <v>87</v>
      </c>
    </row>
    <row r="46" spans="1:11">
      <c r="J46" s="3" t="s">
        <v>57</v>
      </c>
      <c r="K46" t="s">
        <v>88</v>
      </c>
    </row>
    <row r="47" spans="1:11">
      <c r="J47" s="3" t="s">
        <v>43</v>
      </c>
      <c r="K47" t="s">
        <v>72</v>
      </c>
    </row>
    <row r="48" spans="1:11">
      <c r="J48" s="3" t="s">
        <v>42</v>
      </c>
      <c r="K48" t="s">
        <v>89</v>
      </c>
    </row>
    <row r="49" spans="10:11">
      <c r="J49" s="3" t="s">
        <v>30</v>
      </c>
      <c r="K49" t="s">
        <v>90</v>
      </c>
    </row>
    <row r="50" spans="10:11">
      <c r="J50" s="3" t="s">
        <v>43</v>
      </c>
      <c r="K50" t="s">
        <v>72</v>
      </c>
    </row>
    <row r="51" spans="10:11">
      <c r="J51" s="3" t="s">
        <v>52</v>
      </c>
      <c r="K51" t="s">
        <v>49</v>
      </c>
    </row>
    <row r="52" spans="10:11">
      <c r="J52" s="3" t="s">
        <v>32</v>
      </c>
      <c r="K52" s="5" t="s">
        <v>85</v>
      </c>
    </row>
    <row r="53" spans="10:11">
      <c r="J53" s="3" t="s">
        <v>30</v>
      </c>
      <c r="K53" t="s">
        <v>90</v>
      </c>
    </row>
    <row r="54" spans="10:11">
      <c r="J54" s="3" t="s">
        <v>55</v>
      </c>
      <c r="K54" t="s">
        <v>35</v>
      </c>
    </row>
    <row r="55" spans="10:11">
      <c r="J55" s="3" t="s">
        <v>56</v>
      </c>
      <c r="K55" t="s">
        <v>91</v>
      </c>
    </row>
    <row r="56" spans="10:11">
      <c r="J56" s="3" t="s">
        <v>51</v>
      </c>
      <c r="K56" t="s">
        <v>23</v>
      </c>
    </row>
    <row r="57" spans="10:11">
      <c r="J57" s="3" t="s">
        <v>46</v>
      </c>
      <c r="K57" t="s">
        <v>92</v>
      </c>
    </row>
    <row r="58" spans="10:11">
      <c r="J58" s="3" t="s">
        <v>19</v>
      </c>
      <c r="K58" t="s">
        <v>38</v>
      </c>
    </row>
    <row r="59" spans="10:11">
      <c r="J59" s="3" t="s">
        <v>24</v>
      </c>
      <c r="K59" t="s">
        <v>17</v>
      </c>
    </row>
    <row r="60" spans="10:11">
      <c r="J60" s="3" t="s">
        <v>46</v>
      </c>
      <c r="K60" t="s">
        <v>92</v>
      </c>
    </row>
    <row r="61" spans="10:11">
      <c r="J61" s="3" t="s">
        <v>33</v>
      </c>
      <c r="K61" t="s">
        <v>86</v>
      </c>
    </row>
    <row r="62" spans="10:11">
      <c r="J62" s="3" t="s">
        <v>37</v>
      </c>
      <c r="K62" t="s">
        <v>45</v>
      </c>
    </row>
    <row r="63" spans="10:11">
      <c r="J63" s="3" t="s">
        <v>32</v>
      </c>
      <c r="K63" s="5" t="s">
        <v>85</v>
      </c>
    </row>
    <row r="64" spans="10:11">
      <c r="J64" s="3" t="s">
        <v>30</v>
      </c>
      <c r="K64" t="s">
        <v>90</v>
      </c>
    </row>
    <row r="65" spans="10:11">
      <c r="J65" s="3" t="s">
        <v>42</v>
      </c>
      <c r="K65" t="s">
        <v>89</v>
      </c>
    </row>
    <row r="66" spans="10:11">
      <c r="J66" s="3" t="s">
        <v>51</v>
      </c>
      <c r="K66" t="s">
        <v>23</v>
      </c>
    </row>
    <row r="67" spans="10:11">
      <c r="J67" s="3" t="s">
        <v>51</v>
      </c>
      <c r="K67" t="s">
        <v>23</v>
      </c>
    </row>
    <row r="68" spans="10:11">
      <c r="J68" s="3" t="s">
        <v>46</v>
      </c>
      <c r="K68" t="s">
        <v>92</v>
      </c>
    </row>
  </sheetData>
  <sortState xmlns:xlrd2="http://schemas.microsoft.com/office/spreadsheetml/2017/richdata2" ref="J6:J27">
    <sortCondition ref="J6:J27"/>
  </sortState>
  <mergeCells count="3">
    <mergeCell ref="A2:D2"/>
    <mergeCell ref="A3:D3"/>
    <mergeCell ref="B36:J36"/>
  </mergeCells>
  <conditionalFormatting sqref="C6:C34">
    <cfRule type="cellIs" dxfId="1" priority="1" operator="equal">
      <formula>IF(C6="", TRUE, FALSE)</formula>
    </cfRule>
  </conditionalFormatting>
  <conditionalFormatting sqref="H6:H34">
    <cfRule type="cellIs" dxfId="0" priority="2" operator="equal">
      <formula>C6</formula>
    </cfRule>
  </conditionalFormatting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D52D1-1B90-43A7-96C4-75AF4E9C7CB3}">
  <dimension ref="A1:B30"/>
  <sheetViews>
    <sheetView workbookViewId="0">
      <selection activeCell="B22" sqref="B22"/>
    </sheetView>
  </sheetViews>
  <sheetFormatPr defaultRowHeight="15"/>
  <cols>
    <col min="1" max="1" width="21.5703125" bestFit="1" customWidth="1"/>
    <col min="2" max="2" width="13.140625" bestFit="1" customWidth="1"/>
  </cols>
  <sheetData>
    <row r="1" spans="1:2">
      <c r="A1" s="12" t="s">
        <v>167</v>
      </c>
      <c r="B1" s="12" t="s">
        <v>140</v>
      </c>
    </row>
    <row r="2" spans="1:2">
      <c r="A2" s="16" t="s">
        <v>129</v>
      </c>
      <c r="B2" s="21" t="s">
        <v>147</v>
      </c>
    </row>
    <row r="3" spans="1:2">
      <c r="A3" s="16" t="s">
        <v>104</v>
      </c>
      <c r="B3" s="21" t="s">
        <v>149</v>
      </c>
    </row>
    <row r="4" spans="1:2">
      <c r="A4" s="20" t="s">
        <v>146</v>
      </c>
      <c r="B4" s="21" t="s">
        <v>166</v>
      </c>
    </row>
    <row r="5" spans="1:2">
      <c r="A5" s="16" t="s">
        <v>130</v>
      </c>
      <c r="B5" s="21" t="s">
        <v>150</v>
      </c>
    </row>
    <row r="6" spans="1:2">
      <c r="A6" s="16" t="s">
        <v>124</v>
      </c>
      <c r="B6" s="21" t="s">
        <v>151</v>
      </c>
    </row>
    <row r="7" spans="1:2">
      <c r="A7" s="17" t="s">
        <v>131</v>
      </c>
      <c r="B7" s="22" t="s">
        <v>152</v>
      </c>
    </row>
    <row r="8" spans="1:2">
      <c r="A8" s="16" t="s">
        <v>71</v>
      </c>
      <c r="B8" s="21" t="s">
        <v>153</v>
      </c>
    </row>
    <row r="9" spans="1:2">
      <c r="A9" s="17" t="s">
        <v>101</v>
      </c>
      <c r="B9" s="22" t="s">
        <v>154</v>
      </c>
    </row>
    <row r="10" spans="1:2">
      <c r="A10" s="16" t="s">
        <v>123</v>
      </c>
      <c r="B10" s="21" t="s">
        <v>155</v>
      </c>
    </row>
    <row r="11" spans="1:2">
      <c r="A11" s="17" t="s">
        <v>53</v>
      </c>
      <c r="B11" s="22" t="s">
        <v>156</v>
      </c>
    </row>
    <row r="12" spans="1:2">
      <c r="A12" s="16" t="s">
        <v>132</v>
      </c>
      <c r="B12" s="21" t="s">
        <v>150</v>
      </c>
    </row>
    <row r="13" spans="1:2">
      <c r="A13" s="17" t="s">
        <v>63</v>
      </c>
      <c r="B13" s="22" t="s">
        <v>157</v>
      </c>
    </row>
    <row r="14" spans="1:2">
      <c r="A14" s="16" t="s">
        <v>141</v>
      </c>
      <c r="B14" s="21" t="s">
        <v>158</v>
      </c>
    </row>
    <row r="15" spans="1:2">
      <c r="A15" s="17" t="s">
        <v>48</v>
      </c>
      <c r="B15" s="22" t="s">
        <v>159</v>
      </c>
    </row>
    <row r="16" spans="1:2">
      <c r="A16" s="16" t="s">
        <v>125</v>
      </c>
      <c r="B16" s="21" t="s">
        <v>160</v>
      </c>
    </row>
    <row r="17" spans="1:2">
      <c r="A17" s="16" t="s">
        <v>126</v>
      </c>
      <c r="B17" s="21" t="s">
        <v>161</v>
      </c>
    </row>
    <row r="18" spans="1:2">
      <c r="A18" s="16" t="s">
        <v>144</v>
      </c>
      <c r="B18" s="21" t="s">
        <v>148</v>
      </c>
    </row>
    <row r="19" spans="1:2">
      <c r="A19" s="17" t="s">
        <v>34</v>
      </c>
      <c r="B19" s="22" t="s">
        <v>162</v>
      </c>
    </row>
    <row r="20" spans="1:2">
      <c r="A20" s="16" t="s">
        <v>128</v>
      </c>
      <c r="B20" s="21" t="s">
        <v>163</v>
      </c>
    </row>
    <row r="21" spans="1:2">
      <c r="A21" s="16" t="s">
        <v>135</v>
      </c>
      <c r="B21" s="21" t="s">
        <v>165</v>
      </c>
    </row>
    <row r="22" spans="1:2">
      <c r="A22" s="25" t="s">
        <v>127</v>
      </c>
      <c r="B22" s="26" t="s">
        <v>164</v>
      </c>
    </row>
    <row r="23" spans="1:2">
      <c r="A23" s="16"/>
      <c r="B23" s="21"/>
    </row>
    <row r="24" spans="1:2">
      <c r="A24" s="16"/>
      <c r="B24" s="21"/>
    </row>
    <row r="25" spans="1:2">
      <c r="A25" s="16"/>
      <c r="B25" s="21"/>
    </row>
    <row r="26" spans="1:2">
      <c r="A26" s="17"/>
      <c r="B26" s="22"/>
    </row>
    <row r="27" spans="1:2">
      <c r="A27" s="16"/>
      <c r="B27" s="21"/>
    </row>
    <row r="28" spans="1:2">
      <c r="A28" s="16"/>
      <c r="B28" s="21"/>
    </row>
    <row r="29" spans="1:2">
      <c r="A29" s="16"/>
      <c r="B29" s="21"/>
    </row>
    <row r="30" spans="1:2">
      <c r="A30" s="23"/>
      <c r="B30" s="2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7"/>
  <sheetViews>
    <sheetView workbookViewId="0">
      <selection activeCell="E1" sqref="E1"/>
    </sheetView>
  </sheetViews>
  <sheetFormatPr defaultColWidth="9.140625" defaultRowHeight="15"/>
  <cols>
    <col min="1" max="1" width="4.7109375" customWidth="1"/>
    <col min="2" max="2" width="20.7109375" customWidth="1"/>
    <col min="3" max="3" width="7.42578125" customWidth="1"/>
    <col min="4" max="5" width="23.140625" customWidth="1"/>
    <col min="6" max="6" width="15.42578125" customWidth="1"/>
    <col min="7" max="7" width="20.140625" customWidth="1"/>
    <col min="8" max="8" width="20.28515625" customWidth="1"/>
    <col min="9" max="9" width="26.7109375" customWidth="1"/>
    <col min="10" max="10" width="15.42578125" customWidth="1"/>
    <col min="11" max="11" width="11.28515625" customWidth="1"/>
    <col min="12" max="12" width="5.85546875" customWidth="1"/>
    <col min="13" max="13" width="12.28515625" customWidth="1"/>
  </cols>
  <sheetData>
    <row r="1" spans="1:13">
      <c r="A1" s="27" t="s">
        <v>0</v>
      </c>
      <c r="B1" s="27"/>
      <c r="C1" s="27"/>
      <c r="D1" s="27"/>
      <c r="E1" s="1"/>
      <c r="F1" s="1"/>
      <c r="G1" s="1"/>
      <c r="H1" s="1"/>
      <c r="I1" s="1"/>
      <c r="L1" t="s">
        <v>1</v>
      </c>
    </row>
    <row r="2" spans="1:13">
      <c r="A2" s="27" t="s">
        <v>2</v>
      </c>
      <c r="B2" s="27"/>
      <c r="C2" s="27"/>
      <c r="D2" s="27"/>
      <c r="E2" s="1"/>
      <c r="F2" s="1"/>
      <c r="G2" s="1"/>
      <c r="H2" s="1"/>
      <c r="I2" s="1"/>
      <c r="L2" t="s">
        <v>3</v>
      </c>
      <c r="M2" t="s">
        <v>4</v>
      </c>
    </row>
    <row r="3" spans="1:13">
      <c r="L3" t="s">
        <v>5</v>
      </c>
      <c r="M3" t="s">
        <v>6</v>
      </c>
    </row>
    <row r="4" spans="1:13">
      <c r="A4" s="2"/>
      <c r="B4" s="2" t="s">
        <v>7</v>
      </c>
      <c r="C4" s="2" t="s">
        <v>8</v>
      </c>
      <c r="D4" s="2" t="s">
        <v>9</v>
      </c>
      <c r="E4" s="2"/>
      <c r="F4" s="2" t="s">
        <v>10</v>
      </c>
      <c r="G4" s="2" t="s">
        <v>11</v>
      </c>
      <c r="H4" s="1" t="s">
        <v>12</v>
      </c>
      <c r="I4" s="1"/>
      <c r="J4" s="2" t="s">
        <v>10</v>
      </c>
      <c r="L4" t="s">
        <v>13</v>
      </c>
      <c r="M4" t="s">
        <v>14</v>
      </c>
    </row>
    <row r="5" spans="1:13">
      <c r="A5" s="6">
        <v>1</v>
      </c>
      <c r="B5" s="9">
        <v>45716</v>
      </c>
      <c r="C5" s="6" t="s">
        <v>15</v>
      </c>
      <c r="D5" s="6" t="s">
        <v>16</v>
      </c>
      <c r="E5" s="8" t="s">
        <v>17</v>
      </c>
      <c r="F5" t="s">
        <v>18</v>
      </c>
      <c r="G5" s="6" t="s">
        <v>19</v>
      </c>
      <c r="H5" s="5" t="s">
        <v>18</v>
      </c>
      <c r="I5" s="6" t="s">
        <v>19</v>
      </c>
      <c r="J5" t="s">
        <v>18</v>
      </c>
      <c r="L5" t="s">
        <v>20</v>
      </c>
      <c r="M5" t="s">
        <v>21</v>
      </c>
    </row>
    <row r="6" spans="1:13">
      <c r="A6" s="3">
        <f t="shared" ref="A6:A33" si="0">A5+1</f>
        <v>2</v>
      </c>
      <c r="B6" s="4">
        <v>45717</v>
      </c>
      <c r="D6" s="3" t="s">
        <v>22</v>
      </c>
      <c r="E6" t="s">
        <v>23</v>
      </c>
      <c r="F6" t="s">
        <v>18</v>
      </c>
      <c r="G6" s="3" t="s">
        <v>24</v>
      </c>
      <c r="H6" s="5" t="s">
        <v>18</v>
      </c>
      <c r="I6" s="3" t="s">
        <v>24</v>
      </c>
      <c r="J6" t="s">
        <v>18</v>
      </c>
      <c r="L6" t="s">
        <v>25</v>
      </c>
      <c r="M6" t="s">
        <v>26</v>
      </c>
    </row>
    <row r="7" spans="1:13">
      <c r="A7" s="6">
        <f t="shared" si="0"/>
        <v>3</v>
      </c>
      <c r="B7" s="9">
        <v>45718</v>
      </c>
      <c r="C7" s="3" t="s">
        <v>15</v>
      </c>
      <c r="D7" s="6" t="s">
        <v>27</v>
      </c>
      <c r="E7" t="s">
        <v>28</v>
      </c>
      <c r="F7" t="s">
        <v>18</v>
      </c>
      <c r="G7" s="3" t="s">
        <v>29</v>
      </c>
      <c r="H7" s="8" t="s">
        <v>18</v>
      </c>
      <c r="I7" s="3" t="s">
        <v>29</v>
      </c>
      <c r="J7" t="s">
        <v>18</v>
      </c>
      <c r="L7" t="s">
        <v>30</v>
      </c>
      <c r="M7" t="s">
        <v>31</v>
      </c>
    </row>
    <row r="8" spans="1:13">
      <c r="A8" s="3">
        <f t="shared" si="0"/>
        <v>4</v>
      </c>
      <c r="B8" s="4">
        <v>45719</v>
      </c>
      <c r="C8" s="3"/>
      <c r="D8" s="3" t="s">
        <v>22</v>
      </c>
      <c r="E8" t="s">
        <v>23</v>
      </c>
      <c r="G8" s="7" t="s">
        <v>32</v>
      </c>
      <c r="H8" s="8" t="s">
        <v>18</v>
      </c>
      <c r="I8" s="3" t="s">
        <v>33</v>
      </c>
    </row>
    <row r="9" spans="1:13">
      <c r="A9" s="6">
        <f t="shared" si="0"/>
        <v>5</v>
      </c>
      <c r="B9" s="9">
        <v>45720</v>
      </c>
      <c r="C9" s="6" t="s">
        <v>15</v>
      </c>
      <c r="D9" s="6" t="s">
        <v>34</v>
      </c>
      <c r="E9" t="s">
        <v>35</v>
      </c>
      <c r="F9" t="s">
        <v>18</v>
      </c>
      <c r="G9" s="3" t="s">
        <v>33</v>
      </c>
      <c r="H9" s="8" t="s">
        <v>36</v>
      </c>
      <c r="I9" s="3" t="s">
        <v>37</v>
      </c>
      <c r="J9" t="s">
        <v>18</v>
      </c>
    </row>
    <row r="10" spans="1:13">
      <c r="A10" s="3">
        <f t="shared" si="0"/>
        <v>6</v>
      </c>
      <c r="B10" s="4">
        <v>45721</v>
      </c>
      <c r="C10" s="3"/>
      <c r="D10" s="3" t="s">
        <v>31</v>
      </c>
      <c r="E10" t="s">
        <v>38</v>
      </c>
      <c r="G10" s="3" t="s">
        <v>37</v>
      </c>
      <c r="H10" s="5" t="s">
        <v>18</v>
      </c>
      <c r="I10" s="3" t="s">
        <v>30</v>
      </c>
    </row>
    <row r="11" spans="1:13">
      <c r="A11" s="6">
        <f t="shared" si="0"/>
        <v>7</v>
      </c>
      <c r="B11" s="9">
        <v>45722</v>
      </c>
      <c r="C11" s="6" t="s">
        <v>15</v>
      </c>
      <c r="D11" s="6" t="s">
        <v>39</v>
      </c>
      <c r="E11" t="s">
        <v>40</v>
      </c>
      <c r="F11" t="s">
        <v>18</v>
      </c>
      <c r="G11" s="6" t="s">
        <v>41</v>
      </c>
      <c r="H11" s="8" t="s">
        <v>36</v>
      </c>
      <c r="I11" s="3" t="s">
        <v>42</v>
      </c>
      <c r="J11" t="s">
        <v>18</v>
      </c>
    </row>
    <row r="12" spans="1:13">
      <c r="A12" s="3">
        <f t="shared" si="0"/>
        <v>8</v>
      </c>
      <c r="B12" s="4">
        <v>45723</v>
      </c>
      <c r="C12" s="3"/>
      <c r="D12" s="3" t="s">
        <v>4</v>
      </c>
      <c r="E12" t="s">
        <v>38</v>
      </c>
      <c r="G12" s="3" t="s">
        <v>42</v>
      </c>
      <c r="H12" s="5" t="s">
        <v>18</v>
      </c>
      <c r="I12" s="3" t="s">
        <v>43</v>
      </c>
    </row>
    <row r="13" spans="1:13">
      <c r="A13" s="6">
        <f t="shared" si="0"/>
        <v>9</v>
      </c>
      <c r="B13" s="9">
        <v>45724</v>
      </c>
      <c r="C13" s="6" t="s">
        <v>15</v>
      </c>
      <c r="D13" s="6" t="s">
        <v>44</v>
      </c>
      <c r="E13" t="s">
        <v>45</v>
      </c>
      <c r="F13" t="s">
        <v>36</v>
      </c>
      <c r="G13" s="3" t="s">
        <v>43</v>
      </c>
      <c r="H13" s="8" t="s">
        <v>18</v>
      </c>
      <c r="I13" s="6" t="s">
        <v>46</v>
      </c>
      <c r="J13" t="s">
        <v>36</v>
      </c>
    </row>
    <row r="14" spans="1:13">
      <c r="A14" s="3">
        <f t="shared" si="0"/>
        <v>10</v>
      </c>
      <c r="B14" s="4">
        <v>45725</v>
      </c>
      <c r="C14" s="3"/>
      <c r="D14" s="3" t="s">
        <v>47</v>
      </c>
      <c r="E14" t="s">
        <v>38</v>
      </c>
      <c r="G14" s="6" t="s">
        <v>46</v>
      </c>
      <c r="H14" s="5" t="s">
        <v>18</v>
      </c>
      <c r="I14" s="6" t="s">
        <v>41</v>
      </c>
    </row>
    <row r="15" spans="1:13">
      <c r="A15" s="6">
        <f t="shared" si="0"/>
        <v>11</v>
      </c>
      <c r="B15" s="9">
        <v>45726</v>
      </c>
      <c r="C15" s="3" t="s">
        <v>15</v>
      </c>
      <c r="D15" s="3" t="s">
        <v>48</v>
      </c>
      <c r="E15" t="s">
        <v>49</v>
      </c>
      <c r="F15" t="s">
        <v>18</v>
      </c>
      <c r="G15" s="3" t="s">
        <v>30</v>
      </c>
      <c r="H15" s="8" t="s">
        <v>18</v>
      </c>
      <c r="I15" s="3" t="s">
        <v>50</v>
      </c>
      <c r="J15" t="s">
        <v>18</v>
      </c>
      <c r="K15" s="3" t="s">
        <v>48</v>
      </c>
    </row>
    <row r="16" spans="1:13">
      <c r="A16" s="3">
        <f t="shared" si="0"/>
        <v>12</v>
      </c>
      <c r="B16" s="4">
        <v>45727</v>
      </c>
      <c r="C16" s="3"/>
      <c r="D16" s="3" t="s">
        <v>26</v>
      </c>
      <c r="E16" t="s">
        <v>38</v>
      </c>
      <c r="G16" s="3" t="s">
        <v>51</v>
      </c>
      <c r="H16" s="5" t="s">
        <v>18</v>
      </c>
      <c r="I16" s="6" t="s">
        <v>52</v>
      </c>
    </row>
    <row r="17" spans="1:11">
      <c r="A17" s="6">
        <f t="shared" si="0"/>
        <v>13</v>
      </c>
      <c r="B17" s="9">
        <v>45728</v>
      </c>
      <c r="C17" s="6" t="s">
        <v>15</v>
      </c>
      <c r="D17" s="3" t="s">
        <v>53</v>
      </c>
      <c r="E17" t="s">
        <v>38</v>
      </c>
      <c r="F17" t="s">
        <v>18</v>
      </c>
      <c r="G17" s="6" t="s">
        <v>52</v>
      </c>
      <c r="H17" s="8" t="s">
        <v>18</v>
      </c>
      <c r="I17" s="6" t="s">
        <v>54</v>
      </c>
      <c r="J17" t="s">
        <v>18</v>
      </c>
    </row>
    <row r="18" spans="1:11">
      <c r="A18" s="3">
        <f t="shared" si="0"/>
        <v>14</v>
      </c>
      <c r="B18" s="4">
        <v>45729</v>
      </c>
      <c r="C18" s="3"/>
      <c r="D18" s="3" t="s">
        <v>21</v>
      </c>
      <c r="E18" t="s">
        <v>38</v>
      </c>
      <c r="G18" s="7" t="s">
        <v>32</v>
      </c>
      <c r="H18" s="8" t="s">
        <v>18</v>
      </c>
      <c r="I18" s="6" t="s">
        <v>55</v>
      </c>
    </row>
    <row r="19" spans="1:11">
      <c r="A19" s="6">
        <f t="shared" si="0"/>
        <v>15</v>
      </c>
      <c r="B19" s="9">
        <v>45730</v>
      </c>
      <c r="C19" s="3" t="s">
        <v>15</v>
      </c>
      <c r="D19" s="3" t="s">
        <v>48</v>
      </c>
      <c r="E19" t="s">
        <v>49</v>
      </c>
      <c r="F19" t="s">
        <v>18</v>
      </c>
      <c r="G19" s="3" t="s">
        <v>30</v>
      </c>
      <c r="H19" s="8" t="s">
        <v>18</v>
      </c>
      <c r="I19" s="6" t="s">
        <v>56</v>
      </c>
      <c r="J19" t="s">
        <v>18</v>
      </c>
    </row>
    <row r="20" spans="1:11">
      <c r="A20" s="3">
        <f t="shared" si="0"/>
        <v>16</v>
      </c>
      <c r="B20" s="4">
        <v>45731</v>
      </c>
      <c r="C20" s="3"/>
      <c r="D20" s="3" t="s">
        <v>14</v>
      </c>
      <c r="E20" t="s">
        <v>38</v>
      </c>
      <c r="G20" s="6" t="s">
        <v>55</v>
      </c>
      <c r="H20" s="5" t="s">
        <v>18</v>
      </c>
      <c r="I20" s="6" t="s">
        <v>51</v>
      </c>
    </row>
    <row r="21" spans="1:11">
      <c r="A21" s="6">
        <f t="shared" si="0"/>
        <v>17</v>
      </c>
      <c r="B21" s="9">
        <v>45732</v>
      </c>
      <c r="C21" s="3"/>
      <c r="D21" s="3" t="s">
        <v>22</v>
      </c>
      <c r="E21" t="s">
        <v>23</v>
      </c>
      <c r="F21" t="s">
        <v>18</v>
      </c>
      <c r="G21" s="6" t="s">
        <v>56</v>
      </c>
      <c r="H21" s="8" t="s">
        <v>18</v>
      </c>
      <c r="I21" s="6" t="s">
        <v>57</v>
      </c>
      <c r="J21" t="s">
        <v>18</v>
      </c>
      <c r="K21" t="s">
        <v>58</v>
      </c>
    </row>
    <row r="22" spans="1:11">
      <c r="A22" s="3">
        <f t="shared" si="0"/>
        <v>18</v>
      </c>
      <c r="B22" s="4">
        <v>45733</v>
      </c>
      <c r="C22" s="3"/>
      <c r="D22" s="3" t="s">
        <v>59</v>
      </c>
      <c r="E22" s="11" t="s">
        <v>60</v>
      </c>
      <c r="G22" s="6" t="s">
        <v>51</v>
      </c>
      <c r="H22" s="5" t="s">
        <v>18</v>
      </c>
      <c r="I22" s="5"/>
    </row>
    <row r="23" spans="1:11">
      <c r="A23" s="6">
        <f t="shared" si="0"/>
        <v>19</v>
      </c>
      <c r="B23" s="9">
        <v>45734</v>
      </c>
      <c r="C23" s="6" t="s">
        <v>15</v>
      </c>
      <c r="D23" s="6" t="s">
        <v>44</v>
      </c>
      <c r="E23" t="s">
        <v>45</v>
      </c>
      <c r="F23" t="s">
        <v>36</v>
      </c>
      <c r="G23" s="6" t="s">
        <v>57</v>
      </c>
      <c r="H23" s="5" t="s">
        <v>18</v>
      </c>
      <c r="I23" s="8"/>
      <c r="J23" t="s">
        <v>36</v>
      </c>
    </row>
    <row r="24" spans="1:11">
      <c r="A24" s="3">
        <f t="shared" si="0"/>
        <v>20</v>
      </c>
      <c r="B24" s="4">
        <v>45735</v>
      </c>
      <c r="C24" s="3"/>
      <c r="D24" s="3" t="s">
        <v>61</v>
      </c>
      <c r="E24" t="s">
        <v>62</v>
      </c>
      <c r="G24" s="6" t="s">
        <v>19</v>
      </c>
      <c r="H24" s="5" t="s">
        <v>18</v>
      </c>
      <c r="I24" s="5"/>
    </row>
    <row r="25" spans="1:11">
      <c r="A25" s="6">
        <f t="shared" si="0"/>
        <v>21</v>
      </c>
      <c r="B25" s="9">
        <v>45736</v>
      </c>
      <c r="C25" s="6" t="s">
        <v>15</v>
      </c>
      <c r="D25" s="6" t="s">
        <v>63</v>
      </c>
      <c r="E25" t="s">
        <v>64</v>
      </c>
      <c r="F25" t="s">
        <v>18</v>
      </c>
      <c r="G25" s="3" t="s">
        <v>24</v>
      </c>
      <c r="H25" s="8" t="s">
        <v>18</v>
      </c>
      <c r="I25" s="8"/>
      <c r="J25" t="s">
        <v>18</v>
      </c>
    </row>
    <row r="26" spans="1:11">
      <c r="A26" s="3">
        <f t="shared" si="0"/>
        <v>22</v>
      </c>
      <c r="B26" s="4">
        <v>45737</v>
      </c>
      <c r="C26" s="3"/>
      <c r="D26" s="3" t="s">
        <v>65</v>
      </c>
      <c r="E26" t="s">
        <v>66</v>
      </c>
      <c r="G26" s="3" t="s">
        <v>29</v>
      </c>
      <c r="H26" s="8" t="s">
        <v>67</v>
      </c>
      <c r="I26" s="5" t="s">
        <v>68</v>
      </c>
    </row>
    <row r="27" spans="1:11">
      <c r="A27" s="6">
        <f t="shared" si="0"/>
        <v>23</v>
      </c>
      <c r="B27" s="9">
        <v>45738</v>
      </c>
      <c r="C27" s="6" t="s">
        <v>15</v>
      </c>
      <c r="D27" s="6" t="s">
        <v>34</v>
      </c>
      <c r="E27" t="s">
        <v>35</v>
      </c>
      <c r="F27" t="s">
        <v>18</v>
      </c>
      <c r="G27" s="3" t="s">
        <v>33</v>
      </c>
      <c r="H27" s="8" t="s">
        <v>36</v>
      </c>
      <c r="I27" s="8"/>
      <c r="J27" t="s">
        <v>18</v>
      </c>
    </row>
    <row r="28" spans="1:11">
      <c r="A28" s="3">
        <f t="shared" si="0"/>
        <v>24</v>
      </c>
      <c r="B28" s="4">
        <v>45739</v>
      </c>
      <c r="C28" s="3"/>
      <c r="D28" s="3" t="s">
        <v>69</v>
      </c>
      <c r="E28" t="s">
        <v>70</v>
      </c>
      <c r="G28" s="3" t="s">
        <v>37</v>
      </c>
      <c r="H28" s="5" t="s">
        <v>18</v>
      </c>
      <c r="I28" s="5"/>
    </row>
    <row r="29" spans="1:11">
      <c r="A29" s="6">
        <f t="shared" si="0"/>
        <v>25</v>
      </c>
      <c r="B29" s="9">
        <v>45740</v>
      </c>
      <c r="C29" s="6" t="s">
        <v>15</v>
      </c>
      <c r="D29" s="6" t="s">
        <v>71</v>
      </c>
      <c r="E29" t="s">
        <v>72</v>
      </c>
      <c r="F29" t="s">
        <v>18</v>
      </c>
      <c r="G29" s="7" t="s">
        <v>32</v>
      </c>
      <c r="H29" s="8" t="s">
        <v>18</v>
      </c>
      <c r="I29" s="8"/>
      <c r="J29" t="s">
        <v>18</v>
      </c>
      <c r="K29" t="s">
        <v>73</v>
      </c>
    </row>
    <row r="30" spans="1:11">
      <c r="A30" s="3">
        <f t="shared" si="0"/>
        <v>26</v>
      </c>
      <c r="B30" s="4">
        <v>45741</v>
      </c>
      <c r="C30" s="3"/>
      <c r="D30" s="3" t="s">
        <v>74</v>
      </c>
      <c r="E30" t="s">
        <v>75</v>
      </c>
      <c r="G30" s="6" t="s">
        <v>30</v>
      </c>
      <c r="H30" s="8" t="s">
        <v>18</v>
      </c>
      <c r="I30" s="5"/>
    </row>
    <row r="31" spans="1:11">
      <c r="A31" s="6">
        <f t="shared" si="0"/>
        <v>27</v>
      </c>
      <c r="B31" s="9">
        <v>45742</v>
      </c>
      <c r="C31" s="3" t="s">
        <v>15</v>
      </c>
      <c r="D31" s="6" t="s">
        <v>76</v>
      </c>
      <c r="E31" t="s">
        <v>77</v>
      </c>
      <c r="F31" t="s">
        <v>18</v>
      </c>
      <c r="G31" s="3" t="s">
        <v>42</v>
      </c>
      <c r="H31" s="8" t="s">
        <v>18</v>
      </c>
      <c r="I31" s="8"/>
      <c r="J31" t="s">
        <v>18</v>
      </c>
    </row>
    <row r="32" spans="1:11">
      <c r="A32" s="3">
        <f t="shared" si="0"/>
        <v>28</v>
      </c>
      <c r="B32" s="4">
        <v>45743</v>
      </c>
      <c r="C32" s="3"/>
      <c r="D32" s="3" t="s">
        <v>78</v>
      </c>
      <c r="E32" t="s">
        <v>79</v>
      </c>
      <c r="G32" s="3" t="s">
        <v>43</v>
      </c>
      <c r="H32" s="5" t="s">
        <v>18</v>
      </c>
      <c r="I32" s="5"/>
    </row>
    <row r="33" spans="1:10">
      <c r="A33" s="6">
        <f t="shared" si="0"/>
        <v>29</v>
      </c>
      <c r="B33" s="9">
        <v>45744</v>
      </c>
      <c r="C33" s="6" t="s">
        <v>15</v>
      </c>
      <c r="D33" s="6" t="s">
        <v>16</v>
      </c>
      <c r="E33" s="8" t="s">
        <v>17</v>
      </c>
      <c r="F33" t="s">
        <v>18</v>
      </c>
      <c r="G33" s="6" t="s">
        <v>46</v>
      </c>
      <c r="H33" s="8" t="s">
        <v>18</v>
      </c>
      <c r="I33" s="8"/>
      <c r="J33" t="s">
        <v>18</v>
      </c>
    </row>
    <row r="34" spans="1:10">
      <c r="A34" s="3">
        <v>30</v>
      </c>
      <c r="B34" s="4">
        <v>45745</v>
      </c>
      <c r="C34" s="3"/>
      <c r="D34" s="3" t="s">
        <v>53</v>
      </c>
      <c r="E34" t="s">
        <v>38</v>
      </c>
      <c r="G34" s="6" t="s">
        <v>41</v>
      </c>
      <c r="H34" s="5" t="s">
        <v>36</v>
      </c>
      <c r="I34" s="5"/>
    </row>
    <row r="36" spans="1:10">
      <c r="A36" t="s">
        <v>80</v>
      </c>
    </row>
    <row r="37" spans="1:10">
      <c r="A37" s="10" t="s">
        <v>81</v>
      </c>
    </row>
  </sheetData>
  <mergeCells count="2">
    <mergeCell ref="A1:D1"/>
    <mergeCell ref="A2:D2"/>
  </mergeCells>
  <conditionalFormatting sqref="C5:C34">
    <cfRule type="cellIs" dxfId="2" priority="1" operator="greaterThan">
      <formula>0</formula>
    </cfRule>
  </conditionalFormatting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workbookViewId="0">
      <selection activeCell="F1" sqref="F1"/>
    </sheetView>
  </sheetViews>
  <sheetFormatPr defaultColWidth="8.85546875" defaultRowHeight="15"/>
  <cols>
    <col min="1" max="1" width="13.140625" customWidth="1"/>
    <col min="2" max="2" width="20.7109375" customWidth="1"/>
    <col min="3" max="3" width="20.140625" customWidth="1"/>
    <col min="4" max="4" width="3.42578125" customWidth="1"/>
    <col min="5" max="5" width="13.7109375" customWidth="1"/>
    <col min="6" max="6" width="17.7109375" customWidth="1"/>
    <col min="7" max="7" width="15.7109375" customWidth="1"/>
    <col min="8" max="8" width="20.7109375" customWidth="1"/>
    <col min="9" max="9" width="14.28515625" customWidth="1"/>
    <col min="10" max="10" width="20.140625" customWidth="1"/>
    <col min="12" max="12" width="20.140625" customWidth="1"/>
  </cols>
  <sheetData>
    <row r="1" spans="1:12">
      <c r="A1" s="2" t="s">
        <v>93</v>
      </c>
      <c r="B1" s="2" t="s">
        <v>7</v>
      </c>
      <c r="C1" s="2" t="s">
        <v>11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  <c r="L1" s="6" t="s">
        <v>19</v>
      </c>
    </row>
    <row r="2" spans="1:12">
      <c r="A2" s="6">
        <v>1</v>
      </c>
      <c r="B2" s="9">
        <v>45716</v>
      </c>
      <c r="C2" s="6" t="s">
        <v>19</v>
      </c>
      <c r="E2" s="6" t="s">
        <v>100</v>
      </c>
      <c r="F2" t="s">
        <v>38</v>
      </c>
      <c r="G2" s="6">
        <v>1</v>
      </c>
      <c r="H2" s="9">
        <v>45716</v>
      </c>
      <c r="I2" s="6">
        <v>20</v>
      </c>
      <c r="J2" s="9">
        <v>45735</v>
      </c>
      <c r="L2" s="6" t="s">
        <v>19</v>
      </c>
    </row>
    <row r="3" spans="1:12">
      <c r="A3" s="3">
        <f t="shared" ref="A3:A30" si="0">A2+1</f>
        <v>2</v>
      </c>
      <c r="B3" s="4">
        <v>45717</v>
      </c>
      <c r="C3" s="3" t="s">
        <v>24</v>
      </c>
      <c r="E3" s="3" t="s">
        <v>101</v>
      </c>
      <c r="F3" t="s">
        <v>17</v>
      </c>
      <c r="G3" s="3">
        <v>2</v>
      </c>
      <c r="H3" s="4">
        <v>45717</v>
      </c>
      <c r="I3" s="6">
        <v>21</v>
      </c>
      <c r="J3" s="9">
        <v>45736</v>
      </c>
      <c r="L3" s="3" t="s">
        <v>24</v>
      </c>
    </row>
    <row r="4" spans="1:12">
      <c r="A4" s="6">
        <f t="shared" si="0"/>
        <v>3</v>
      </c>
      <c r="B4" s="9">
        <v>45718</v>
      </c>
      <c r="C4" s="3" t="s">
        <v>29</v>
      </c>
      <c r="E4" s="3" t="s">
        <v>102</v>
      </c>
      <c r="F4" t="s">
        <v>84</v>
      </c>
      <c r="G4" s="6">
        <v>3</v>
      </c>
      <c r="H4" s="9">
        <v>45718</v>
      </c>
      <c r="I4" s="6">
        <v>22</v>
      </c>
      <c r="J4" s="9">
        <v>45737</v>
      </c>
      <c r="L4" s="3" t="s">
        <v>24</v>
      </c>
    </row>
    <row r="5" spans="1:12">
      <c r="A5" s="3">
        <f t="shared" si="0"/>
        <v>4</v>
      </c>
      <c r="B5" s="4">
        <v>45719</v>
      </c>
      <c r="C5" s="7" t="s">
        <v>32</v>
      </c>
      <c r="E5" s="3" t="s">
        <v>103</v>
      </c>
      <c r="F5" t="s">
        <v>86</v>
      </c>
      <c r="G5" s="6">
        <v>5</v>
      </c>
      <c r="H5" s="9">
        <v>45720</v>
      </c>
      <c r="I5" s="6">
        <v>23</v>
      </c>
      <c r="J5" s="9">
        <v>45738</v>
      </c>
      <c r="L5" s="3" t="s">
        <v>29</v>
      </c>
    </row>
    <row r="6" spans="1:12">
      <c r="A6" s="6">
        <f t="shared" si="0"/>
        <v>5</v>
      </c>
      <c r="B6" s="9">
        <v>45720</v>
      </c>
      <c r="C6" s="3" t="s">
        <v>33</v>
      </c>
      <c r="E6" s="3" t="s">
        <v>104</v>
      </c>
      <c r="F6" t="s">
        <v>45</v>
      </c>
      <c r="G6" s="3">
        <v>6</v>
      </c>
      <c r="H6" s="4">
        <v>45721</v>
      </c>
      <c r="I6" s="6">
        <v>24</v>
      </c>
      <c r="J6" s="9">
        <v>45739</v>
      </c>
      <c r="L6" s="3" t="s">
        <v>29</v>
      </c>
    </row>
    <row r="7" spans="1:12">
      <c r="A7" s="3">
        <f t="shared" si="0"/>
        <v>6</v>
      </c>
      <c r="B7" s="4">
        <v>45721</v>
      </c>
      <c r="C7" s="3" t="s">
        <v>37</v>
      </c>
      <c r="E7" s="3" t="s">
        <v>30</v>
      </c>
      <c r="F7" t="s">
        <v>90</v>
      </c>
      <c r="G7" s="6">
        <v>11</v>
      </c>
      <c r="H7" s="9">
        <v>45726</v>
      </c>
      <c r="I7" s="6">
        <v>15</v>
      </c>
      <c r="J7" s="9">
        <v>45730</v>
      </c>
      <c r="L7" s="3" t="s">
        <v>33</v>
      </c>
    </row>
    <row r="8" spans="1:12">
      <c r="A8" s="6">
        <f t="shared" si="0"/>
        <v>7</v>
      </c>
      <c r="B8" s="9">
        <v>45722</v>
      </c>
      <c r="C8" s="6" t="s">
        <v>41</v>
      </c>
      <c r="E8" s="3" t="s">
        <v>105</v>
      </c>
      <c r="F8" t="s">
        <v>89</v>
      </c>
      <c r="G8" s="3">
        <v>8</v>
      </c>
      <c r="H8" s="4">
        <v>45723</v>
      </c>
      <c r="I8" s="6">
        <v>27</v>
      </c>
      <c r="J8" s="9">
        <v>45742</v>
      </c>
      <c r="L8" s="3" t="s">
        <v>33</v>
      </c>
    </row>
    <row r="9" spans="1:12">
      <c r="A9" s="3">
        <f t="shared" si="0"/>
        <v>8</v>
      </c>
      <c r="B9" s="4">
        <v>45723</v>
      </c>
      <c r="C9" s="3" t="s">
        <v>42</v>
      </c>
      <c r="E9" s="3" t="s">
        <v>58</v>
      </c>
      <c r="F9" t="s">
        <v>72</v>
      </c>
      <c r="G9" s="6">
        <v>9</v>
      </c>
      <c r="H9" s="9">
        <v>45724</v>
      </c>
      <c r="I9" s="6">
        <v>28</v>
      </c>
      <c r="J9" s="9">
        <v>45743</v>
      </c>
      <c r="L9" s="3" t="s">
        <v>37</v>
      </c>
    </row>
    <row r="10" spans="1:12">
      <c r="A10" s="6">
        <f t="shared" si="0"/>
        <v>9</v>
      </c>
      <c r="B10" s="9">
        <v>45724</v>
      </c>
      <c r="C10" s="3" t="s">
        <v>43</v>
      </c>
      <c r="E10" s="6" t="s">
        <v>106</v>
      </c>
      <c r="F10" t="s">
        <v>92</v>
      </c>
      <c r="G10" s="3">
        <v>10</v>
      </c>
      <c r="H10" s="4">
        <v>45725</v>
      </c>
      <c r="I10" s="6">
        <v>29</v>
      </c>
      <c r="J10" s="9">
        <v>45744</v>
      </c>
      <c r="L10" s="3" t="s">
        <v>37</v>
      </c>
    </row>
    <row r="11" spans="1:12">
      <c r="A11" s="3">
        <f t="shared" si="0"/>
        <v>10</v>
      </c>
      <c r="B11" s="4">
        <v>45725</v>
      </c>
      <c r="C11" s="6" t="s">
        <v>46</v>
      </c>
      <c r="E11" s="6" t="s">
        <v>107</v>
      </c>
      <c r="F11" t="s">
        <v>87</v>
      </c>
      <c r="G11" s="6">
        <v>7</v>
      </c>
      <c r="H11" s="9">
        <v>45722</v>
      </c>
      <c r="I11" s="6">
        <v>30</v>
      </c>
      <c r="J11" s="9">
        <v>45745</v>
      </c>
      <c r="L11" s="3" t="s">
        <v>30</v>
      </c>
    </row>
    <row r="12" spans="1:12">
      <c r="A12" s="6">
        <f t="shared" si="0"/>
        <v>11</v>
      </c>
      <c r="B12" s="9">
        <v>45726</v>
      </c>
      <c r="C12" s="3" t="s">
        <v>30</v>
      </c>
      <c r="E12" s="3" t="s">
        <v>108</v>
      </c>
      <c r="F12" t="s">
        <v>109</v>
      </c>
      <c r="G12" s="3">
        <v>12</v>
      </c>
      <c r="H12" s="4">
        <v>45727</v>
      </c>
      <c r="I12" s="6"/>
      <c r="J12" s="9"/>
      <c r="L12" s="3" t="s">
        <v>30</v>
      </c>
    </row>
    <row r="13" spans="1:12">
      <c r="A13" s="3">
        <f t="shared" si="0"/>
        <v>12</v>
      </c>
      <c r="B13" s="4">
        <v>45727</v>
      </c>
      <c r="C13" s="3" t="s">
        <v>50</v>
      </c>
      <c r="E13" s="6" t="s">
        <v>48</v>
      </c>
      <c r="F13" t="s">
        <v>49</v>
      </c>
      <c r="G13" s="6">
        <v>13</v>
      </c>
      <c r="H13" s="9">
        <v>45728</v>
      </c>
      <c r="I13" s="6"/>
      <c r="J13" s="9"/>
      <c r="L13" s="3" t="s">
        <v>42</v>
      </c>
    </row>
    <row r="14" spans="1:12">
      <c r="A14" s="6">
        <f t="shared" si="0"/>
        <v>13</v>
      </c>
      <c r="B14" s="9">
        <v>45728</v>
      </c>
      <c r="C14" s="6" t="s">
        <v>52</v>
      </c>
      <c r="E14" s="6" t="s">
        <v>110</v>
      </c>
      <c r="F14" t="s">
        <v>111</v>
      </c>
      <c r="G14" s="3">
        <v>26</v>
      </c>
      <c r="H14" s="4">
        <v>45741</v>
      </c>
      <c r="I14" s="6"/>
      <c r="J14" s="9"/>
      <c r="L14" s="3" t="s">
        <v>42</v>
      </c>
    </row>
    <row r="15" spans="1:12">
      <c r="A15" s="3">
        <f t="shared" si="0"/>
        <v>14</v>
      </c>
      <c r="B15" s="4">
        <v>45729</v>
      </c>
      <c r="C15" s="7" t="s">
        <v>32</v>
      </c>
      <c r="E15" s="6" t="s">
        <v>112</v>
      </c>
      <c r="F15" t="s">
        <v>35</v>
      </c>
      <c r="G15" s="3">
        <v>16</v>
      </c>
      <c r="H15" s="4">
        <v>45731</v>
      </c>
      <c r="I15" s="6"/>
      <c r="J15" s="9"/>
      <c r="L15" s="3" t="s">
        <v>43</v>
      </c>
    </row>
    <row r="16" spans="1:12">
      <c r="A16" s="6">
        <f t="shared" si="0"/>
        <v>15</v>
      </c>
      <c r="B16" s="9">
        <v>45730</v>
      </c>
      <c r="C16" s="3" t="s">
        <v>30</v>
      </c>
      <c r="E16" s="6" t="s">
        <v>113</v>
      </c>
      <c r="F16" t="s">
        <v>91</v>
      </c>
      <c r="G16" s="3">
        <v>17</v>
      </c>
      <c r="H16" s="4">
        <v>45732</v>
      </c>
      <c r="I16" s="6"/>
      <c r="J16" s="9"/>
      <c r="L16" s="3" t="s">
        <v>43</v>
      </c>
    </row>
    <row r="17" spans="1:12">
      <c r="A17" s="3">
        <f t="shared" si="0"/>
        <v>16</v>
      </c>
      <c r="B17" s="4">
        <v>45731</v>
      </c>
      <c r="C17" s="6" t="s">
        <v>55</v>
      </c>
      <c r="E17" s="6" t="s">
        <v>51</v>
      </c>
      <c r="F17" t="s">
        <v>23</v>
      </c>
      <c r="G17" s="3">
        <v>18</v>
      </c>
      <c r="H17" s="4">
        <v>45733</v>
      </c>
      <c r="I17" s="6"/>
      <c r="J17" s="9"/>
      <c r="L17" s="6" t="s">
        <v>46</v>
      </c>
    </row>
    <row r="18" spans="1:12">
      <c r="A18" s="6">
        <f t="shared" si="0"/>
        <v>17</v>
      </c>
      <c r="B18" s="9">
        <v>45732</v>
      </c>
      <c r="C18" s="6" t="s">
        <v>56</v>
      </c>
      <c r="E18" s="6"/>
      <c r="L18" s="6" t="s">
        <v>46</v>
      </c>
    </row>
    <row r="19" spans="1:12">
      <c r="A19" s="3">
        <f t="shared" si="0"/>
        <v>18</v>
      </c>
      <c r="B19" s="4">
        <v>45733</v>
      </c>
      <c r="C19" s="6" t="s">
        <v>51</v>
      </c>
      <c r="L19" s="6" t="s">
        <v>41</v>
      </c>
    </row>
    <row r="20" spans="1:12">
      <c r="A20" s="6">
        <f t="shared" si="0"/>
        <v>19</v>
      </c>
      <c r="B20" s="9">
        <v>45734</v>
      </c>
      <c r="C20" s="6" t="s">
        <v>57</v>
      </c>
      <c r="L20" s="6" t="s">
        <v>41</v>
      </c>
    </row>
    <row r="21" spans="1:12">
      <c r="A21" s="3">
        <f t="shared" si="0"/>
        <v>20</v>
      </c>
      <c r="B21" s="4">
        <v>45735</v>
      </c>
      <c r="C21" s="6" t="s">
        <v>19</v>
      </c>
      <c r="L21" s="3" t="s">
        <v>50</v>
      </c>
    </row>
    <row r="22" spans="1:12">
      <c r="A22" s="6">
        <f t="shared" si="0"/>
        <v>21</v>
      </c>
      <c r="B22" s="9">
        <v>45736</v>
      </c>
      <c r="C22" s="3" t="s">
        <v>24</v>
      </c>
      <c r="L22" s="6" t="s">
        <v>52</v>
      </c>
    </row>
    <row r="23" spans="1:12">
      <c r="A23" s="3">
        <f t="shared" si="0"/>
        <v>22</v>
      </c>
      <c r="B23" s="4">
        <v>45737</v>
      </c>
      <c r="C23" s="3" t="s">
        <v>29</v>
      </c>
      <c r="L23" s="6" t="s">
        <v>54</v>
      </c>
    </row>
    <row r="24" spans="1:12">
      <c r="A24" s="6">
        <f t="shared" si="0"/>
        <v>23</v>
      </c>
      <c r="B24" s="9">
        <v>45738</v>
      </c>
      <c r="C24" s="3" t="s">
        <v>33</v>
      </c>
      <c r="L24" s="6" t="s">
        <v>55</v>
      </c>
    </row>
    <row r="25" spans="1:12">
      <c r="A25" s="3">
        <f t="shared" si="0"/>
        <v>24</v>
      </c>
      <c r="B25" s="4">
        <v>45739</v>
      </c>
      <c r="C25" s="3" t="s">
        <v>37</v>
      </c>
      <c r="L25" s="6" t="s">
        <v>56</v>
      </c>
    </row>
    <row r="26" spans="1:12">
      <c r="A26" s="6">
        <f t="shared" si="0"/>
        <v>25</v>
      </c>
      <c r="B26" s="9">
        <v>45740</v>
      </c>
      <c r="C26" s="7" t="s">
        <v>32</v>
      </c>
      <c r="L26" s="6" t="s">
        <v>51</v>
      </c>
    </row>
    <row r="27" spans="1:12">
      <c r="A27" s="3">
        <f t="shared" si="0"/>
        <v>26</v>
      </c>
      <c r="B27" s="4">
        <v>45741</v>
      </c>
      <c r="C27" s="6" t="s">
        <v>54</v>
      </c>
      <c r="L27" s="7"/>
    </row>
    <row r="28" spans="1:12">
      <c r="A28" s="6">
        <f t="shared" si="0"/>
        <v>27</v>
      </c>
      <c r="B28" s="9">
        <v>45742</v>
      </c>
      <c r="C28" s="3" t="s">
        <v>42</v>
      </c>
      <c r="L28" s="7"/>
    </row>
    <row r="29" spans="1:12">
      <c r="A29" s="3">
        <f t="shared" si="0"/>
        <v>28</v>
      </c>
      <c r="B29" s="4">
        <v>45743</v>
      </c>
      <c r="C29" s="3" t="s">
        <v>43</v>
      </c>
      <c r="L29" s="6"/>
    </row>
    <row r="30" spans="1:12">
      <c r="A30" s="6">
        <f t="shared" si="0"/>
        <v>29</v>
      </c>
      <c r="B30" s="9">
        <v>45744</v>
      </c>
      <c r="C30" s="6" t="s">
        <v>46</v>
      </c>
      <c r="L30" s="7"/>
    </row>
    <row r="31" spans="1:12">
      <c r="A31" s="3">
        <v>30</v>
      </c>
      <c r="B31" s="4">
        <v>45745</v>
      </c>
      <c r="C31" s="6" t="s">
        <v>41</v>
      </c>
    </row>
  </sheetData>
  <sortState xmlns:xlrd2="http://schemas.microsoft.com/office/spreadsheetml/2017/richdata2" ref="L2:L30">
    <sortCondition ref="L2"/>
  </sortState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3"/>
  <sheetViews>
    <sheetView workbookViewId="0">
      <selection activeCell="B6" sqref="B6"/>
    </sheetView>
  </sheetViews>
  <sheetFormatPr defaultColWidth="8.85546875" defaultRowHeight="15"/>
  <cols>
    <col min="1" max="1" width="23.140625" customWidth="1"/>
    <col min="2" max="2" width="17.7109375" customWidth="1"/>
    <col min="5" max="5" width="21.28515625" customWidth="1"/>
    <col min="6" max="6" width="17.7109375" customWidth="1"/>
  </cols>
  <sheetData>
    <row r="1" spans="1:6">
      <c r="A1" t="s">
        <v>6</v>
      </c>
      <c r="E1" s="3" t="s">
        <v>114</v>
      </c>
    </row>
    <row r="2" spans="1:6">
      <c r="A2" t="s">
        <v>21</v>
      </c>
      <c r="E2" s="3" t="s">
        <v>115</v>
      </c>
    </row>
    <row r="3" spans="1:6">
      <c r="A3" t="s">
        <v>74</v>
      </c>
      <c r="B3" t="s">
        <v>75</v>
      </c>
      <c r="E3" s="3" t="s">
        <v>116</v>
      </c>
    </row>
    <row r="4" spans="1:6">
      <c r="A4" t="s">
        <v>61</v>
      </c>
      <c r="B4" t="s">
        <v>62</v>
      </c>
      <c r="E4" s="3" t="s">
        <v>117</v>
      </c>
    </row>
    <row r="5" spans="1:6">
      <c r="A5" t="s">
        <v>31</v>
      </c>
    </row>
    <row r="6" spans="1:6">
      <c r="A6" t="s">
        <v>78</v>
      </c>
      <c r="B6" t="s">
        <v>79</v>
      </c>
    </row>
    <row r="7" spans="1:6">
      <c r="A7" t="s">
        <v>118</v>
      </c>
      <c r="B7" t="s">
        <v>119</v>
      </c>
    </row>
    <row r="8" spans="1:6">
      <c r="A8" t="s">
        <v>14</v>
      </c>
      <c r="E8" s="6" t="s">
        <v>100</v>
      </c>
    </row>
    <row r="9" spans="1:6">
      <c r="A9" t="s">
        <v>26</v>
      </c>
      <c r="E9" s="3" t="s">
        <v>101</v>
      </c>
    </row>
    <row r="10" spans="1:6">
      <c r="A10" t="s">
        <v>4</v>
      </c>
      <c r="E10" s="3" t="s">
        <v>102</v>
      </c>
      <c r="F10" t="s">
        <v>84</v>
      </c>
    </row>
    <row r="11" spans="1:6">
      <c r="A11" t="s">
        <v>65</v>
      </c>
      <c r="B11" t="s">
        <v>66</v>
      </c>
      <c r="E11" s="3" t="s">
        <v>103</v>
      </c>
      <c r="F11" t="s">
        <v>86</v>
      </c>
    </row>
    <row r="12" spans="1:6">
      <c r="A12" t="s">
        <v>69</v>
      </c>
      <c r="B12" t="s">
        <v>70</v>
      </c>
      <c r="E12" s="3" t="s">
        <v>104</v>
      </c>
    </row>
    <row r="13" spans="1:6">
      <c r="A13" t="s">
        <v>16</v>
      </c>
      <c r="B13" t="s">
        <v>17</v>
      </c>
      <c r="E13" s="3" t="s">
        <v>30</v>
      </c>
      <c r="F13" t="s">
        <v>90</v>
      </c>
    </row>
    <row r="14" spans="1:6">
      <c r="A14" t="s">
        <v>39</v>
      </c>
      <c r="B14" t="s">
        <v>40</v>
      </c>
      <c r="E14" s="3" t="s">
        <v>105</v>
      </c>
      <c r="F14" t="s">
        <v>89</v>
      </c>
    </row>
    <row r="15" spans="1:6">
      <c r="A15" t="s">
        <v>44</v>
      </c>
      <c r="B15" t="s">
        <v>45</v>
      </c>
      <c r="E15" s="3" t="s">
        <v>58</v>
      </c>
    </row>
    <row r="16" spans="1:6">
      <c r="A16" t="s">
        <v>71</v>
      </c>
      <c r="B16" t="s">
        <v>72</v>
      </c>
      <c r="E16" s="6" t="s">
        <v>106</v>
      </c>
      <c r="F16" t="s">
        <v>92</v>
      </c>
    </row>
    <row r="17" spans="1:6">
      <c r="A17" t="s">
        <v>53</v>
      </c>
      <c r="B17" t="s">
        <v>38</v>
      </c>
      <c r="E17" s="6" t="s">
        <v>107</v>
      </c>
      <c r="F17" t="s">
        <v>87</v>
      </c>
    </row>
    <row r="18" spans="1:6">
      <c r="A18" t="s">
        <v>76</v>
      </c>
      <c r="B18" t="s">
        <v>77</v>
      </c>
      <c r="E18" s="3" t="s">
        <v>108</v>
      </c>
    </row>
    <row r="19" spans="1:6">
      <c r="A19" t="s">
        <v>63</v>
      </c>
      <c r="B19" t="s">
        <v>64</v>
      </c>
      <c r="E19" s="6" t="s">
        <v>48</v>
      </c>
    </row>
    <row r="20" spans="1:6">
      <c r="A20" t="s">
        <v>48</v>
      </c>
      <c r="B20" t="s">
        <v>49</v>
      </c>
      <c r="E20" s="6" t="s">
        <v>110</v>
      </c>
      <c r="F20" t="s">
        <v>111</v>
      </c>
    </row>
    <row r="21" spans="1:6">
      <c r="A21" t="s">
        <v>34</v>
      </c>
      <c r="B21" t="s">
        <v>35</v>
      </c>
      <c r="E21" s="6" t="s">
        <v>112</v>
      </c>
    </row>
    <row r="22" spans="1:6">
      <c r="A22" t="s">
        <v>27</v>
      </c>
      <c r="B22" t="s">
        <v>28</v>
      </c>
      <c r="E22" s="6" t="s">
        <v>113</v>
      </c>
      <c r="F22" t="s">
        <v>91</v>
      </c>
    </row>
    <row r="23" spans="1:6">
      <c r="A23" t="s">
        <v>22</v>
      </c>
      <c r="B23" t="s">
        <v>23</v>
      </c>
      <c r="E23" s="6" t="s">
        <v>51</v>
      </c>
    </row>
  </sheetData>
  <sortState xmlns:xlrd2="http://schemas.microsoft.com/office/spreadsheetml/2017/richdata2" ref="A1:A28">
    <sortCondition ref="A1"/>
  </sortState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6"/>
  <sheetViews>
    <sheetView workbookViewId="0">
      <selection activeCell="C23" sqref="C23"/>
    </sheetView>
  </sheetViews>
  <sheetFormatPr defaultColWidth="9.140625" defaultRowHeight="15"/>
  <cols>
    <col min="1" max="1" width="13.140625" customWidth="1"/>
    <col min="2" max="2" width="20.7109375" customWidth="1"/>
    <col min="3" max="3" width="23.140625" customWidth="1"/>
    <col min="4" max="4" width="17.7109375" customWidth="1"/>
    <col min="5" max="5" width="20.140625" customWidth="1"/>
    <col min="6" max="6" width="20.28515625" customWidth="1"/>
    <col min="7" max="7" width="26.7109375" customWidth="1"/>
    <col min="8" max="8" width="15.42578125" customWidth="1"/>
    <col min="9" max="9" width="11.28515625" customWidth="1"/>
    <col min="10" max="10" width="5.85546875" customWidth="1"/>
    <col min="11" max="11" width="12.28515625" customWidth="1"/>
  </cols>
  <sheetData>
    <row r="1" spans="1:11">
      <c r="A1" s="27" t="s">
        <v>0</v>
      </c>
      <c r="B1" s="27"/>
      <c r="C1" s="27"/>
      <c r="D1" s="1"/>
      <c r="E1" s="1"/>
      <c r="F1" s="1"/>
      <c r="G1" s="1"/>
      <c r="J1" t="s">
        <v>1</v>
      </c>
    </row>
    <row r="2" spans="1:11">
      <c r="A2" s="27" t="s">
        <v>2</v>
      </c>
      <c r="B2" s="27"/>
      <c r="C2" s="27"/>
      <c r="D2" s="1"/>
      <c r="E2" s="1"/>
      <c r="F2" s="1"/>
      <c r="G2" s="1"/>
      <c r="J2" t="s">
        <v>3</v>
      </c>
      <c r="K2" t="s">
        <v>4</v>
      </c>
    </row>
    <row r="3" spans="1:11">
      <c r="J3" t="s">
        <v>5</v>
      </c>
      <c r="K3" t="s">
        <v>6</v>
      </c>
    </row>
    <row r="4" spans="1:11">
      <c r="A4" s="2" t="s">
        <v>93</v>
      </c>
      <c r="B4" s="2" t="s">
        <v>7</v>
      </c>
      <c r="C4" s="2" t="s">
        <v>9</v>
      </c>
      <c r="D4" s="2" t="s">
        <v>10</v>
      </c>
      <c r="E4" s="2" t="s">
        <v>11</v>
      </c>
      <c r="F4" s="1" t="s">
        <v>12</v>
      </c>
      <c r="G4" s="1"/>
      <c r="H4" s="2" t="s">
        <v>10</v>
      </c>
      <c r="J4" t="s">
        <v>13</v>
      </c>
      <c r="K4" t="s">
        <v>14</v>
      </c>
    </row>
    <row r="5" spans="1:11">
      <c r="A5" s="3">
        <v>6</v>
      </c>
      <c r="B5" s="4">
        <v>45721</v>
      </c>
      <c r="C5" s="3" t="s">
        <v>31</v>
      </c>
      <c r="E5" s="3" t="s">
        <v>37</v>
      </c>
      <c r="F5" s="5" t="s">
        <v>18</v>
      </c>
      <c r="G5" s="3" t="s">
        <v>30</v>
      </c>
    </row>
    <row r="6" spans="1:11">
      <c r="A6" s="3">
        <v>8</v>
      </c>
      <c r="B6" s="4">
        <v>45723</v>
      </c>
      <c r="C6" s="3" t="s">
        <v>4</v>
      </c>
      <c r="E6" s="3" t="s">
        <v>42</v>
      </c>
      <c r="F6" s="5" t="s">
        <v>18</v>
      </c>
      <c r="G6" s="3" t="s">
        <v>43</v>
      </c>
    </row>
    <row r="7" spans="1:11">
      <c r="A7" s="3">
        <v>10</v>
      </c>
      <c r="B7" s="4">
        <v>45725</v>
      </c>
      <c r="C7" s="3" t="s">
        <v>6</v>
      </c>
      <c r="E7" s="6" t="s">
        <v>46</v>
      </c>
      <c r="F7" s="5" t="s">
        <v>18</v>
      </c>
      <c r="G7" s="6" t="s">
        <v>41</v>
      </c>
    </row>
    <row r="8" spans="1:11">
      <c r="A8" s="3">
        <v>12</v>
      </c>
      <c r="B8" s="4">
        <v>45727</v>
      </c>
      <c r="C8" s="3" t="s">
        <v>14</v>
      </c>
      <c r="E8" s="3" t="s">
        <v>50</v>
      </c>
      <c r="F8" s="5" t="s">
        <v>18</v>
      </c>
      <c r="G8" s="6" t="s">
        <v>52</v>
      </c>
    </row>
    <row r="9" spans="1:11">
      <c r="A9" s="3">
        <v>14</v>
      </c>
      <c r="B9" s="4">
        <v>45729</v>
      </c>
      <c r="C9" s="3" t="s">
        <v>21</v>
      </c>
      <c r="E9" s="7" t="s">
        <v>32</v>
      </c>
      <c r="F9" s="8" t="s">
        <v>18</v>
      </c>
      <c r="G9" s="6" t="s">
        <v>55</v>
      </c>
    </row>
    <row r="10" spans="1:11">
      <c r="A10" s="3">
        <v>16</v>
      </c>
      <c r="B10" s="4">
        <v>45731</v>
      </c>
      <c r="C10" s="3" t="s">
        <v>26</v>
      </c>
      <c r="E10" s="6" t="s">
        <v>55</v>
      </c>
      <c r="F10" s="5" t="s">
        <v>18</v>
      </c>
      <c r="G10" s="6" t="s">
        <v>51</v>
      </c>
    </row>
    <row r="11" spans="1:11">
      <c r="A11" s="3">
        <v>18</v>
      </c>
      <c r="B11" s="4">
        <v>45733</v>
      </c>
      <c r="C11" s="3" t="s">
        <v>114</v>
      </c>
      <c r="D11" t="s">
        <v>119</v>
      </c>
      <c r="E11" s="6" t="s">
        <v>51</v>
      </c>
      <c r="F11" s="5" t="s">
        <v>18</v>
      </c>
      <c r="G11" s="5"/>
    </row>
    <row r="12" spans="1:11">
      <c r="A12" s="3">
        <v>20</v>
      </c>
      <c r="B12" s="4">
        <v>45735</v>
      </c>
      <c r="C12" s="3" t="s">
        <v>115</v>
      </c>
      <c r="D12" t="s">
        <v>62</v>
      </c>
      <c r="E12" s="6" t="s">
        <v>19</v>
      </c>
      <c r="F12" s="5" t="s">
        <v>18</v>
      </c>
      <c r="G12" s="5"/>
    </row>
    <row r="13" spans="1:11">
      <c r="A13" s="3">
        <v>22</v>
      </c>
      <c r="B13" s="4">
        <v>45737</v>
      </c>
      <c r="C13" s="3" t="s">
        <v>116</v>
      </c>
      <c r="D13" t="s">
        <v>66</v>
      </c>
      <c r="E13" s="3" t="s">
        <v>29</v>
      </c>
      <c r="F13" s="8" t="s">
        <v>67</v>
      </c>
      <c r="G13" s="5" t="s">
        <v>68</v>
      </c>
    </row>
    <row r="14" spans="1:11">
      <c r="A14" s="3">
        <v>24</v>
      </c>
      <c r="B14" s="4">
        <v>45739</v>
      </c>
      <c r="C14" s="3" t="s">
        <v>117</v>
      </c>
      <c r="D14" t="s">
        <v>70</v>
      </c>
      <c r="E14" s="3" t="s">
        <v>37</v>
      </c>
      <c r="F14" s="5" t="s">
        <v>18</v>
      </c>
      <c r="G14" s="5"/>
    </row>
    <row r="15" spans="1:11">
      <c r="A15" s="3">
        <v>26</v>
      </c>
      <c r="B15" s="4">
        <v>45741</v>
      </c>
      <c r="C15" s="3" t="s">
        <v>120</v>
      </c>
      <c r="E15" s="6" t="s">
        <v>54</v>
      </c>
      <c r="F15" s="5" t="s">
        <v>121</v>
      </c>
      <c r="G15" s="5"/>
    </row>
    <row r="16" spans="1:11">
      <c r="A16" s="3">
        <v>28</v>
      </c>
      <c r="B16" s="4">
        <v>45743</v>
      </c>
      <c r="C16" s="3" t="s">
        <v>78</v>
      </c>
      <c r="E16" s="3" t="s">
        <v>43</v>
      </c>
      <c r="F16" s="5" t="s">
        <v>18</v>
      </c>
      <c r="G16" s="5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Pak Gatot</vt:lpstr>
      <vt:lpstr>Nomor WA</vt:lpstr>
      <vt:lpstr>DT</vt:lpstr>
      <vt:lpstr>Olah - Pak Gatot</vt:lpstr>
      <vt:lpstr>Sheet1</vt:lpstr>
      <vt:lpstr>Olah - Santri</vt:lpstr>
      <vt:lpstr>DT!Print_Area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Muhammad Zaini</cp:lastModifiedBy>
  <dcterms:created xsi:type="dcterms:W3CDTF">2023-04-03T19:55:00Z</dcterms:created>
  <dcterms:modified xsi:type="dcterms:W3CDTF">2025-12-19T23:22:05Z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