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/>
  <mc:AlternateContent xmlns:mc="http://schemas.openxmlformats.org/markup-compatibility/2006">
    <mc:Choice Requires="x15">
      <x15ac:absPath xmlns:x15ac="http://schemas.microsoft.com/office/spreadsheetml/2010/11/ac" url="D:\jadwal-imam-tarawih\"/>
    </mc:Choice>
  </mc:AlternateContent>
  <xr:revisionPtr revIDLastSave="0" documentId="13_ncr:1_{2B9B202F-E1D0-4173-9B85-CB314AB59910}" xr6:coauthVersionLast="45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Pak Gatot" sheetId="2" r:id="rId1"/>
    <sheet name="Sheet2" sheetId="7" r:id="rId2"/>
    <sheet name="Nomor WA" sheetId="6" r:id="rId3"/>
    <sheet name="DT" sheetId="1" r:id="rId4"/>
    <sheet name="Olah - Pak Gatot" sheetId="3" r:id="rId5"/>
    <sheet name="Sheet1" sheetId="5" r:id="rId6"/>
    <sheet name="Olah - Santri" sheetId="4" r:id="rId7"/>
  </sheets>
  <definedNames>
    <definedName name="_xlnm.Print_Area" localSheetId="3">DT!$A$1:$D$36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57" i="2" l="1"/>
  <c r="O34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K7" i="2"/>
  <c r="K8" i="2" s="1"/>
  <c r="K9" i="2" s="1"/>
  <c r="K10" i="2" s="1"/>
  <c r="K11" i="2" s="1"/>
  <c r="K12" i="2" s="1"/>
  <c r="K13" i="2" s="1"/>
  <c r="K14" i="2" s="1"/>
  <c r="K15" i="2" s="1"/>
  <c r="K16" i="2" s="1"/>
  <c r="K17" i="2" s="1"/>
  <c r="K18" i="2" s="1"/>
  <c r="K19" i="2" s="1"/>
  <c r="K20" i="2" s="1"/>
  <c r="K21" i="2" s="1"/>
  <c r="K22" i="2" s="1"/>
  <c r="K23" i="2" s="1"/>
  <c r="K24" i="2" s="1"/>
  <c r="K25" i="2" s="1"/>
  <c r="K26" i="2" s="1"/>
  <c r="K27" i="2" s="1"/>
  <c r="K28" i="2" s="1"/>
  <c r="K29" i="2" s="1"/>
  <c r="K30" i="2" s="1"/>
  <c r="K31" i="2" s="1"/>
  <c r="K32" i="2" s="1"/>
  <c r="K33" i="2" s="1"/>
  <c r="K34" i="2" s="1"/>
  <c r="O6" i="2"/>
  <c r="H39" i="2" l="1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A3" i="3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7" i="2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</calcChain>
</file>

<file path=xl/sharedStrings.xml><?xml version="1.0" encoding="utf-8"?>
<sst xmlns="http://schemas.openxmlformats.org/spreadsheetml/2006/main" count="921" uniqueCount="211">
  <si>
    <t>Jadwal Petugas Kegiatan Tarawih Ramadhan 1446 H</t>
  </si>
  <si>
    <t>Santri</t>
  </si>
  <si>
    <t>Masjid Daarut Thoyyibah, Loa Bakung</t>
  </si>
  <si>
    <t>Raffa</t>
  </si>
  <si>
    <t>Ananda Raffa</t>
  </si>
  <si>
    <t>Akmal</t>
  </si>
  <si>
    <t>Ananda Akmal</t>
  </si>
  <si>
    <t>Tanggal</t>
  </si>
  <si>
    <t>Kultum</t>
  </si>
  <si>
    <t>Imam</t>
  </si>
  <si>
    <t>Konfirmasi DT</t>
  </si>
  <si>
    <t>Pak Gatot</t>
  </si>
  <si>
    <t>Konfirmasi Pak Gatot</t>
  </si>
  <si>
    <t>Idris</t>
  </si>
  <si>
    <t>Ananda Idris</t>
  </si>
  <si>
    <t>✅</t>
  </si>
  <si>
    <t>Ustadz Andi Iskandar</t>
  </si>
  <si>
    <t>+62 822-5499-1016</t>
  </si>
  <si>
    <t>sudah oke</t>
  </si>
  <si>
    <t>Abdul Latip</t>
  </si>
  <si>
    <t>Daffa</t>
  </si>
  <si>
    <t>Ananda Daffa</t>
  </si>
  <si>
    <t>Ustadz Zaky</t>
  </si>
  <si>
    <t>+62 813-2469-8218</t>
  </si>
  <si>
    <t>Andi Iskandar</t>
  </si>
  <si>
    <t>Kholis</t>
  </si>
  <si>
    <t>Ananda Kholis</t>
  </si>
  <si>
    <t>Ustadz Yasser Hamzah</t>
  </si>
  <si>
    <t>+62 857-1920-7265</t>
  </si>
  <si>
    <t>Aswan</t>
  </si>
  <si>
    <t>Hanif</t>
  </si>
  <si>
    <t>Ananda Hanif</t>
  </si>
  <si>
    <t>Abdul Rifai</t>
  </si>
  <si>
    <t>Budi Prabowo</t>
  </si>
  <si>
    <t>Ustadz Wahidi Rahman</t>
  </si>
  <si>
    <t>+62 853-4580-0531</t>
  </si>
  <si>
    <t>sudah dikabarkan</t>
  </si>
  <si>
    <t>Chairid Daha</t>
  </si>
  <si>
    <t>+62 821-2322-6368</t>
  </si>
  <si>
    <t>Ustadz Aslam Abu Hanifah</t>
  </si>
  <si>
    <t>+62 852-4877-0627</t>
  </si>
  <si>
    <t>Lukman</t>
  </si>
  <si>
    <t>Ibrahim</t>
  </si>
  <si>
    <t>Imanuddin</t>
  </si>
  <si>
    <t>Ustadz Chairid Daha</t>
  </si>
  <si>
    <t>+62 813-4145-9342</t>
  </si>
  <si>
    <t>Komatsu Kumala Hastin</t>
  </si>
  <si>
    <t>Ananda Pahrezy</t>
  </si>
  <si>
    <t>Ustadz Rezky</t>
  </si>
  <si>
    <t>+62 813-5165-5536</t>
  </si>
  <si>
    <t>Miftahul Hadi</t>
  </si>
  <si>
    <t>Zakky</t>
  </si>
  <si>
    <t>Rezky Adistya</t>
  </si>
  <si>
    <t>Ustadz Latip</t>
  </si>
  <si>
    <t>Wachyu</t>
  </si>
  <si>
    <t>Wahidi Rahman</t>
  </si>
  <si>
    <t>Yuda</t>
  </si>
  <si>
    <t>Zen</t>
  </si>
  <si>
    <t>Ustadz Iman</t>
  </si>
  <si>
    <t>Ustadz Agus Fitriyanto</t>
  </si>
  <si>
    <t>+62 812-5000-5458</t>
  </si>
  <si>
    <t>Ananda Habib</t>
  </si>
  <si>
    <t>+62 852-1006-7327</t>
  </si>
  <si>
    <t>Ustadz Ngalal</t>
  </si>
  <si>
    <t>+62 853-8933-3869</t>
  </si>
  <si>
    <t>Ananda Royyan</t>
  </si>
  <si>
    <t>+62 813-4641-7124</t>
  </si>
  <si>
    <t>insya Allah</t>
  </si>
  <si>
    <t>Alumni sepuluh malam terakhir</t>
  </si>
  <si>
    <t>Ananda Zuhdi</t>
  </si>
  <si>
    <t>+62 852-4967-2832</t>
  </si>
  <si>
    <t>Ustadz Imanuddin</t>
  </si>
  <si>
    <t>+62 822-7418-0206</t>
  </si>
  <si>
    <t>(baru sekali)</t>
  </si>
  <si>
    <t>Ananda Firman</t>
  </si>
  <si>
    <t>+62 822-4124-5719</t>
  </si>
  <si>
    <t>Ustadz Muhammad Asmuni</t>
  </si>
  <si>
    <t>+62 812-5034-0349</t>
  </si>
  <si>
    <t>Ananda Hasyim</t>
  </si>
  <si>
    <t>+62 812-5384-450</t>
  </si>
  <si>
    <t xml:space="preserve">Bagi yang ingin mendapatkan salinan jadwal imam, silahkan ketik </t>
  </si>
  <si>
    <r>
      <rPr>
        <b/>
        <sz val="11"/>
        <color theme="1"/>
        <rFont val="Calibri"/>
        <charset val="134"/>
        <scheme val="minor"/>
      </rPr>
      <t>tarawih</t>
    </r>
    <r>
      <rPr>
        <sz val="11"/>
        <color theme="1"/>
        <rFont val="Calibri"/>
        <charset val="134"/>
        <scheme val="minor"/>
      </rPr>
      <t xml:space="preserve"> ke WA 0815-4514-3654</t>
    </r>
  </si>
  <si>
    <t>Abdul Rifai 3x harinya Senin atau kamis</t>
  </si>
  <si>
    <t>Musholla Baitul Hilmi, Jalan Monas</t>
  </si>
  <si>
    <t>+62 823-2004-0021</t>
  </si>
  <si>
    <t>+62 852-4603-5732</t>
  </si>
  <si>
    <t>+62 812-5804-5853</t>
  </si>
  <si>
    <t>+62 857-5422-7966</t>
  </si>
  <si>
    <t xml:space="preserve"> +62 815-4514-3654</t>
  </si>
  <si>
    <t>+62 853-8889-8918</t>
  </si>
  <si>
    <t>+62 851-5695-2623</t>
  </si>
  <si>
    <t>+62 898-5520-616</t>
  </si>
  <si>
    <t>+62 822-5282-6688</t>
  </si>
  <si>
    <t>Ramadhan ke</t>
  </si>
  <si>
    <t>namaPanggilan</t>
  </si>
  <si>
    <t>nomorWa</t>
  </si>
  <si>
    <t>ramadhanPertama</t>
  </si>
  <si>
    <t>tanggalPertama</t>
  </si>
  <si>
    <t>ramadhanKedua</t>
  </si>
  <si>
    <t>tanggalKedua</t>
  </si>
  <si>
    <t>Latip</t>
  </si>
  <si>
    <t>Ustadz Iskandar</t>
  </si>
  <si>
    <t>Mas Aswan</t>
  </si>
  <si>
    <t>Ustadz Budi</t>
  </si>
  <si>
    <t>Ustadz Chairid</t>
  </si>
  <si>
    <t>Mas Baim</t>
  </si>
  <si>
    <t>Komatsu</t>
  </si>
  <si>
    <t>Mas Lukman</t>
  </si>
  <si>
    <t>Ustadz Miftah</t>
  </si>
  <si>
    <t>+62 822-5130-3132</t>
  </si>
  <si>
    <t>Mas Wachyu</t>
  </si>
  <si>
    <t>+62 822-5506-5550</t>
  </si>
  <si>
    <t>Ustadz Wahidi</t>
  </si>
  <si>
    <t>Mas Yuda</t>
  </si>
  <si>
    <t>Ananda Hazwan (Alumni)</t>
  </si>
  <si>
    <t>Ananda Habib (Alumni)</t>
  </si>
  <si>
    <t>Ananda Royyan (Alumni)</t>
  </si>
  <si>
    <t>Ananda Zuhdi (Alumni)</t>
  </si>
  <si>
    <t>Ananda Hazwan</t>
  </si>
  <si>
    <t>+62 822-5346-8121</t>
  </si>
  <si>
    <t>Ananda Firman (Alumni)</t>
  </si>
  <si>
    <t>nggak siap</t>
  </si>
  <si>
    <t>Jadwal Petugas Kegiatan Tarawih Ramadhan 1447 H</t>
  </si>
  <si>
    <t>Ustadz Komatsu</t>
  </si>
  <si>
    <t>Ustadz Ibrahim</t>
  </si>
  <si>
    <t>Ustadz Romi</t>
  </si>
  <si>
    <t>Ustadz Wachyu</t>
  </si>
  <si>
    <t>Ustadz Zen</t>
  </si>
  <si>
    <t>Ustadz Yudha</t>
  </si>
  <si>
    <t>Ustadz Aswan</t>
  </si>
  <si>
    <t>Ustadz Hanif</t>
  </si>
  <si>
    <t>Ustadz Imam</t>
  </si>
  <si>
    <t>Ustadz Lukman</t>
  </si>
  <si>
    <t>Ustadz Rahmat</t>
  </si>
  <si>
    <t>Ustadz Sidiq</t>
  </si>
  <si>
    <t>Ustadz Zaki</t>
  </si>
  <si>
    <t>Nomor</t>
  </si>
  <si>
    <t>Keterangan</t>
  </si>
  <si>
    <t>Di DT</t>
  </si>
  <si>
    <t>o</t>
  </si>
  <si>
    <t>Nomor WA</t>
  </si>
  <si>
    <t>Ustadz Rahmad</t>
  </si>
  <si>
    <t>Assalamu'alaykum, ustadz menyampaikan rancangan jadwal Imam tarawih di Musholla Baitul Hilmi Monas</t>
  </si>
  <si>
    <t>Confirmed</t>
  </si>
  <si>
    <t>Ustadz Wahap</t>
  </si>
  <si>
    <t>Wahap Apdoellah</t>
  </si>
  <si>
    <t>Ustadz Danik</t>
  </si>
  <si>
    <t>082320040021</t>
  </si>
  <si>
    <t>082229432434</t>
  </si>
  <si>
    <t>081341459342</t>
  </si>
  <si>
    <t>085754227966</t>
  </si>
  <si>
    <t>085388898918</t>
  </si>
  <si>
    <t>082153442363</t>
  </si>
  <si>
    <t>082274180206</t>
  </si>
  <si>
    <t>082254991016</t>
  </si>
  <si>
    <t>082252826688</t>
  </si>
  <si>
    <t>082123226368</t>
  </si>
  <si>
    <t>085389333869</t>
  </si>
  <si>
    <t>081346326451</t>
  </si>
  <si>
    <t>081351655536</t>
  </si>
  <si>
    <t>085346751595</t>
  </si>
  <si>
    <t>082255065550</t>
  </si>
  <si>
    <t>085345800531</t>
  </si>
  <si>
    <t>08985520616</t>
  </si>
  <si>
    <t>081545143654</t>
  </si>
  <si>
    <t>081324698218</t>
  </si>
  <si>
    <t>081350170682</t>
  </si>
  <si>
    <t>Nama</t>
  </si>
  <si>
    <t>085156952623</t>
  </si>
  <si>
    <t>Pengulangan</t>
  </si>
  <si>
    <t>Nomor WA Tujuan</t>
  </si>
  <si>
    <t>Judul</t>
  </si>
  <si>
    <t>Pesan</t>
  </si>
  <si>
    <t>URL Gambar</t>
  </si>
  <si>
    <t>Jadwal Kirim Pesan (WIB)</t>
  </si>
  <si>
    <t>Judul Pesan 1</t>
  </si>
  <si>
    <t>Isi pesan WhatsApp di sini</t>
  </si>
  <si>
    <t>https://example.com/image.jpg</t>
  </si>
  <si>
    <t>tiap pekan</t>
  </si>
  <si>
    <t>Judul Pesan 2</t>
  </si>
  <si>
    <t>Isi pesan kedua di sini</t>
  </si>
  <si>
    <t>tiap bulan</t>
  </si>
  <si>
    <t>081234567890</t>
  </si>
  <si>
    <t>089876543210</t>
  </si>
  <si>
    <t>Yang kolom pertama nggak perlu diisi</t>
  </si>
  <si>
    <t>Tes</t>
  </si>
  <si>
    <t>2025-12-31 12:33:02</t>
  </si>
  <si>
    <t>+6281545143654</t>
  </si>
  <si>
    <t>+6282320040021</t>
  </si>
  <si>
    <t>+6281341459342</t>
  </si>
  <si>
    <t>+6281350170682</t>
  </si>
  <si>
    <t>+6285156952623</t>
  </si>
  <si>
    <t>+6285388898918</t>
  </si>
  <si>
    <t>+6282153442363</t>
  </si>
  <si>
    <t>+6282274180206</t>
  </si>
  <si>
    <t>+6282254991016</t>
  </si>
  <si>
    <t>+6282252826688</t>
  </si>
  <si>
    <t>+6282123226368</t>
  </si>
  <si>
    <t>+6285754227966</t>
  </si>
  <si>
    <t>+6285389333869</t>
  </si>
  <si>
    <t>+6281346326451</t>
  </si>
  <si>
    <t>+6281351655536</t>
  </si>
  <si>
    <t>+6285345800531</t>
  </si>
  <si>
    <t>+628985520616</t>
  </si>
  <si>
    <t>+6281324698218</t>
  </si>
  <si>
    <t>Masjid Daarut Thoyyibah</t>
  </si>
  <si>
    <t>+6285248770627</t>
  </si>
  <si>
    <t>2020-01-01 00:00:00</t>
  </si>
  <si>
    <t>Halo\n\nHai</t>
  </si>
  <si>
    <t>Tes 2</t>
  </si>
  <si>
    <t>Halo\nHai\n\nSemuanya…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</si>
</sst>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21]dddd&quot;, &quot;dd\ mmmm\ yyyy"/>
    <numFmt numFmtId="165" formatCode="yyyy\-mm\-dd;@"/>
  </numFmts>
  <fonts count="11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family val="2"/>
      <charset val="134"/>
      <scheme val="minor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9"/>
      </left>
      <right style="thin">
        <color theme="9"/>
      </right>
      <top style="thin">
        <color theme="9"/>
      </top>
      <bottom/>
      <diagonal/>
    </border>
    <border>
      <left/>
      <right/>
      <top/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54">
    <xf numFmtId="0" fontId="0" fillId="0" borderId="0" xfId="0">
      <alignment vertical="center"/>
    </xf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0" fontId="6" fillId="0" borderId="0" xfId="0" applyFont="1">
      <alignment vertical="center"/>
    </xf>
    <xf numFmtId="49" fontId="0" fillId="0" borderId="0" xfId="0" applyNumberFormat="1">
      <alignment vertical="center"/>
    </xf>
    <xf numFmtId="0" fontId="5" fillId="0" borderId="0" xfId="0" applyFont="1">
      <alignment vertical="center"/>
    </xf>
    <xf numFmtId="0" fontId="7" fillId="0" borderId="0" xfId="0" applyFont="1">
      <alignment vertical="center"/>
    </xf>
    <xf numFmtId="0" fontId="5" fillId="4" borderId="3" xfId="0" applyFont="1" applyFill="1" applyBorder="1">
      <alignment vertical="center"/>
    </xf>
    <xf numFmtId="0" fontId="5" fillId="0" borderId="3" xfId="0" applyFont="1" applyBorder="1">
      <alignment vertical="center"/>
    </xf>
    <xf numFmtId="0" fontId="7" fillId="4" borderId="3" xfId="0" applyFont="1" applyFill="1" applyBorder="1">
      <alignment vertical="center"/>
    </xf>
    <xf numFmtId="49" fontId="5" fillId="4" borderId="3" xfId="0" applyNumberFormat="1" applyFont="1" applyFill="1" applyBorder="1">
      <alignment vertical="center"/>
    </xf>
    <xf numFmtId="49" fontId="5" fillId="0" borderId="3" xfId="0" applyNumberFormat="1" applyFont="1" applyBorder="1">
      <alignment vertical="center"/>
    </xf>
    <xf numFmtId="0" fontId="5" fillId="4" borderId="4" xfId="0" applyFont="1" applyFill="1" applyBorder="1">
      <alignment vertical="center"/>
    </xf>
    <xf numFmtId="49" fontId="5" fillId="4" borderId="4" xfId="0" applyNumberFormat="1" applyFont="1" applyFill="1" applyBorder="1">
      <alignment vertical="center"/>
    </xf>
    <xf numFmtId="0" fontId="5" fillId="0" borderId="4" xfId="0" applyFont="1" applyBorder="1">
      <alignment vertical="center"/>
    </xf>
    <xf numFmtId="49" fontId="5" fillId="0" borderId="4" xfId="0" applyNumberFormat="1" applyFont="1" applyBorder="1">
      <alignment vertical="center"/>
    </xf>
    <xf numFmtId="0" fontId="0" fillId="0" borderId="3" xfId="0" applyFont="1" applyBorder="1">
      <alignment vertical="center"/>
    </xf>
    <xf numFmtId="0" fontId="0" fillId="4" borderId="3" xfId="0" applyFont="1" applyFill="1" applyBorder="1">
      <alignment vertical="center"/>
    </xf>
    <xf numFmtId="0" fontId="4" fillId="0" borderId="3" xfId="0" applyFont="1" applyBorder="1">
      <alignment vertical="center"/>
    </xf>
    <xf numFmtId="0" fontId="4" fillId="4" borderId="3" xfId="0" applyFont="1" applyFill="1" applyBorder="1">
      <alignment vertical="center"/>
    </xf>
    <xf numFmtId="49" fontId="0" fillId="4" borderId="3" xfId="0" applyNumberFormat="1" applyFont="1" applyFill="1" applyBorder="1">
      <alignment vertical="center"/>
    </xf>
    <xf numFmtId="49" fontId="0" fillId="0" borderId="3" xfId="0" applyNumberFormat="1" applyFont="1" applyBorder="1">
      <alignment vertical="center"/>
    </xf>
    <xf numFmtId="0" fontId="0" fillId="0" borderId="3" xfId="0" quotePrefix="1" applyFont="1" applyBorder="1">
      <alignment vertical="center"/>
    </xf>
    <xf numFmtId="0" fontId="6" fillId="0" borderId="0" xfId="0" applyNumberFormat="1" applyFont="1" applyAlignment="1">
      <alignment horizontal="center" vertical="center"/>
    </xf>
    <xf numFmtId="0" fontId="6" fillId="0" borderId="2" xfId="0" applyNumberFormat="1" applyFont="1" applyBorder="1" applyAlignment="1">
      <alignment horizontal="center" vertical="center"/>
    </xf>
    <xf numFmtId="0" fontId="0" fillId="0" borderId="0" xfId="0" applyNumberFormat="1">
      <alignment vertical="center"/>
    </xf>
    <xf numFmtId="0" fontId="0" fillId="0" borderId="0" xfId="0" quotePrefix="1" applyNumberFormat="1">
      <alignment vertical="center"/>
    </xf>
    <xf numFmtId="0" fontId="4" fillId="0" borderId="0" xfId="0" applyFont="1">
      <alignment vertical="center"/>
    </xf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 wrapText="1"/>
    </xf>
    <xf numFmtId="0" fontId="9" fillId="0" borderId="5" xfId="0" applyFont="1" applyBorder="1" applyAlignment="1">
      <alignment vertical="center" wrapText="1"/>
    </xf>
    <xf numFmtId="0" fontId="9" fillId="0" borderId="0" xfId="0" applyFont="1" applyAlignment="1">
      <alignment vertical="center" wrapText="1"/>
    </xf>
    <xf numFmtId="49" fontId="8" fillId="0" borderId="0" xfId="0" applyNumberFormat="1" applyFont="1" applyAlignment="1">
      <alignment horizontal="left" vertical="center" wrapText="1"/>
    </xf>
    <xf numFmtId="49" fontId="9" fillId="0" borderId="5" xfId="0" applyNumberFormat="1" applyFont="1" applyBorder="1" applyAlignment="1">
      <alignment vertical="center" wrapText="1"/>
    </xf>
    <xf numFmtId="49" fontId="9" fillId="0" borderId="0" xfId="0" applyNumberFormat="1" applyFont="1" applyAlignment="1">
      <alignment vertical="center" wrapText="1"/>
    </xf>
    <xf numFmtId="0" fontId="3" fillId="0" borderId="0" xfId="0" applyFont="1">
      <alignment vertical="center"/>
    </xf>
    <xf numFmtId="165" fontId="5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2" fillId="0" borderId="0" xfId="0" applyFont="1">
      <alignment vertical="center"/>
    </xf>
    <xf numFmtId="49" fontId="2" fillId="4" borderId="3" xfId="0" applyNumberFormat="1" applyFont="1" applyFill="1" applyBorder="1">
      <alignment vertical="center"/>
    </xf>
    <xf numFmtId="0" fontId="0" fillId="0" borderId="0" xfId="0" applyNumberFormat="1" applyBorder="1">
      <alignment vertical="center"/>
    </xf>
    <xf numFmtId="49" fontId="2" fillId="0" borderId="0" xfId="0" applyNumberFormat="1" applyFont="1">
      <alignment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1" fillId="0" borderId="0" xfId="0" applyFont="1">
      <alignment vertical="center"/>
    </xf>
  </cellXfs>
  <cellStyles count="1">
    <cellStyle name="Normal" xfId="0" builtinId="0"/>
  </cellStyles>
  <dxfs count="24">
    <dxf>
      <font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solid">
          <fgColor theme="9" tint="0.79998168889431442"/>
          <bgColor theme="9" tint="0.79998168889431442"/>
        </patternFill>
      </fill>
      <border diagonalUp="0" diagonalDown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border diagonalUp="0" diagonalDown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  <vertical/>
        <horizontal/>
      </border>
    </dxf>
    <dxf>
      <border outline="0">
        <bottom style="thin">
          <color theme="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30" formatCode="@"/>
      <fill>
        <patternFill patternType="solid">
          <fgColor theme="9" tint="0.79998168889431442"/>
          <bgColor theme="9" tint="0.79998168889431442"/>
        </patternFill>
      </fill>
      <border diagonalUp="0" diagonalDown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  <vertical/>
        <horizontal/>
      </border>
    </dxf>
    <dxf>
      <border outline="0">
        <bottom style="thin">
          <color theme="9"/>
        </bottom>
      </border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165" formatCode="yyyy\-mm\-dd;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30" formatCode="@"/>
      <fill>
        <patternFill patternType="solid">
          <fgColor theme="9" tint="0.79998168889431442"/>
          <bgColor theme="9" tint="0.79998168889431442"/>
        </patternFill>
      </fill>
      <border diagonalUp="0" diagonalDown="0"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numFmt numFmtId="30" formatCode="@"/>
    </dxf>
    <dxf>
      <border outline="0">
        <bottom style="thin">
          <color theme="9"/>
        </bottom>
      </border>
    </dxf>
    <dxf>
      <numFmt numFmtId="0" formatCode="General"/>
    </dxf>
    <dxf>
      <numFmt numFmtId="165" formatCode="yyyy\-mm\-dd;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0</xdr:colOff>
      <xdr:row>5</xdr:row>
      <xdr:rowOff>0</xdr:rowOff>
    </xdr:from>
    <xdr:to>
      <xdr:col>17</xdr:col>
      <xdr:colOff>304800</xdr:colOff>
      <xdr:row>5</xdr:row>
      <xdr:rowOff>304800</xdr:rowOff>
    </xdr:to>
    <xdr:sp macro="" textlink="">
      <xdr:nvSpPr>
        <xdr:cNvPr id="2049" name="AutoShape 1">
          <a:extLst>
            <a:ext uri="{FF2B5EF4-FFF2-40B4-BE49-F238E27FC236}">
              <a16:creationId xmlns:a16="http://schemas.microsoft.com/office/drawing/2014/main" id="{FCB5006A-A821-9E8A-4A8D-9504BB51AF98}"/>
            </a:ext>
          </a:extLst>
        </xdr:cNvPr>
        <xdr:cNvSpPr>
          <a:spLocks noChangeAspect="1" noChangeArrowheads="1"/>
        </xdr:cNvSpPr>
      </xdr:nvSpPr>
      <xdr:spPr bwMode="auto">
        <a:xfrm>
          <a:off x="12363450" y="76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6</xdr:row>
      <xdr:rowOff>0</xdr:rowOff>
    </xdr:from>
    <xdr:to>
      <xdr:col>17</xdr:col>
      <xdr:colOff>304800</xdr:colOff>
      <xdr:row>6</xdr:row>
      <xdr:rowOff>304800</xdr:rowOff>
    </xdr:to>
    <xdr:sp macro="" textlink="">
      <xdr:nvSpPr>
        <xdr:cNvPr id="2050" name="AutoShape 2">
          <a:extLst>
            <a:ext uri="{FF2B5EF4-FFF2-40B4-BE49-F238E27FC236}">
              <a16:creationId xmlns:a16="http://schemas.microsoft.com/office/drawing/2014/main" id="{BE7BF7B3-2428-B76A-A5CD-BC40200D2B4F}"/>
            </a:ext>
          </a:extLst>
        </xdr:cNvPr>
        <xdr:cNvSpPr>
          <a:spLocks noChangeAspect="1" noChangeArrowheads="1"/>
        </xdr:cNvSpPr>
      </xdr:nvSpPr>
      <xdr:spPr bwMode="auto">
        <a:xfrm>
          <a:off x="12363450" y="952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542925</xdr:colOff>
      <xdr:row>37</xdr:row>
      <xdr:rowOff>47625</xdr:rowOff>
    </xdr:from>
    <xdr:to>
      <xdr:col>18</xdr:col>
      <xdr:colOff>533400</xdr:colOff>
      <xdr:row>72</xdr:row>
      <xdr:rowOff>95250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886AC2F-9BFB-BDE7-2FC9-872489CF9D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468475" y="7905750"/>
          <a:ext cx="6343650" cy="671512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672EF5-F5A6-4182-8647-3A86B3566FAB}" name="Table1" displayName="Table1" ref="A5:E34" totalsRowShown="0" headerRowDxfId="19">
  <autoFilter ref="A5:E34" xr:uid="{7F672EF5-F5A6-4182-8647-3A86B3566FAB}"/>
  <tableColumns count="5">
    <tableColumn id="1" xr3:uid="{EDA3354A-D911-4857-BDFD-2A76F68799B6}" name="Nomor" dataDxfId="18">
      <calculatedColumnFormula>A5+1</calculatedColumnFormula>
    </tableColumn>
    <tableColumn id="2" xr3:uid="{EE32957E-B020-43A5-93B6-4F4983A5B8C5}" name="Tanggal" dataDxfId="17"/>
    <tableColumn id="3" xr3:uid="{474FEB94-AA9D-4225-84A8-CAE68BC78718}" name="Imam"/>
    <tableColumn id="4" xr3:uid="{E9CF7577-A218-4BFC-BD73-D8F2523F2B45}" name="Keterangan"/>
    <tableColumn id="5" xr3:uid="{11BF8C20-01CD-49CD-96D6-A73B48384BCF}" name="Nomor WA" dataDxfId="16">
      <calculatedColumnFormula>VLOOKUP(Table1[[#This Row],[Imam]],Table35[#All],2,FALSE)</calculatedColumnFormula>
    </tableColumn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9530C33-B6B5-4115-9923-45D7AFE34439}" name="Table35" displayName="Table35" ref="F38:H57" totalsRowShown="0" tableBorderDxfId="15">
  <autoFilter ref="F38:H57" xr:uid="{D9530C33-B6B5-4115-9923-45D7AFE34439}"/>
  <sortState xmlns:xlrd2="http://schemas.microsoft.com/office/spreadsheetml/2017/richdata2" ref="F39:G56">
    <sortCondition ref="F1:F19"/>
  </sortState>
  <tableColumns count="3">
    <tableColumn id="1" xr3:uid="{F724475A-A50A-4C3B-815A-F4FD22C8480A}" name="Nama" dataDxfId="14"/>
    <tableColumn id="2" xr3:uid="{FF44FB9B-A317-41C3-9E91-41A8D60563FD}" name="Nomor WA" dataDxfId="13"/>
    <tableColumn id="3" xr3:uid="{1A922AE0-1ED0-4A04-AAF7-5D85C9B067EF}" name="Pengulangan" dataDxfId="12">
      <calculatedColumnFormula>COUNTIF(Table1[Imam],Table35[[#This Row],[Nama]])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D39EA5A-A81E-4D32-8B64-273C7A8F6950}" name="Table16" displayName="Table16" ref="K5:O34" totalsRowShown="0" headerRowDxfId="11">
  <autoFilter ref="K5:O34" xr:uid="{4CDDEFDD-9B9A-4132-B3F2-84E308C2EBE7}"/>
  <tableColumns count="5">
    <tableColumn id="1" xr3:uid="{7DEC5B5B-9500-4D9B-A1CE-235D25215B3C}" name="Nomor" dataDxfId="10">
      <calculatedColumnFormula>K5+1</calculatedColumnFormula>
    </tableColumn>
    <tableColumn id="2" xr3:uid="{1E1369C1-C29E-4040-9295-EB68CA1DA6EB}" name="Tanggal" dataDxfId="9"/>
    <tableColumn id="3" xr3:uid="{BCFEBDF1-F84F-4997-88AF-EBE87A6CECF2}" name="Imam"/>
    <tableColumn id="4" xr3:uid="{0425DBC4-EE39-4081-9C40-C58050634AC8}" name="Keterangan"/>
    <tableColumn id="5" xr3:uid="{8DEC3263-BB8F-4EFB-B746-F94FE8E58523}" name="Nomor WA" dataDxfId="8">
      <calculatedColumnFormula>VLOOKUP(Table16[[#This Row],[Imam]],Table35[#All],2,FALSE)</calculatedColumnFormula>
    </tableColumn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622B11-EC89-4AF0-9DF4-FB14C2B1C37F}" name="Table3" displayName="Table3" ref="A1:B19" totalsRowShown="0" tableBorderDxfId="6">
  <autoFilter ref="A1:B19" xr:uid="{2A622B11-EC89-4AF0-9DF4-FB14C2B1C37F}"/>
  <sortState xmlns:xlrd2="http://schemas.microsoft.com/office/spreadsheetml/2017/richdata2" ref="A2:B19">
    <sortCondition ref="A1:A19"/>
  </sortState>
  <tableColumns count="2">
    <tableColumn id="1" xr3:uid="{2AB0227A-689E-434E-BE31-2D3674F24B79}" name="Nama"/>
    <tableColumn id="2" xr3:uid="{BBECE007-5A72-4694-9062-83FE01F91734}" name="Nomor WA" dataDxfId="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463BB1F-E51B-43C0-AA2F-E1D6DB3DDCF7}" name="Table2" displayName="Table2" ref="A1:B30" totalsRowShown="0" headerRowDxfId="4" tableBorderDxfId="3">
  <autoFilter ref="A1:B30" xr:uid="{B463BB1F-E51B-43C0-AA2F-E1D6DB3DDCF7}"/>
  <sortState xmlns:xlrd2="http://schemas.microsoft.com/office/spreadsheetml/2017/richdata2" ref="A2:B30">
    <sortCondition ref="A1:A30"/>
  </sortState>
  <tableColumns count="2">
    <tableColumn id="1" xr3:uid="{A0750327-460A-4848-BB77-C819467CC83E}" name="Nama" dataDxfId="2"/>
    <tableColumn id="2" xr3:uid="{97DD37ED-3D7B-4850-8D30-26BB8E10C618}" name="Nomor WA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D84"/>
  <sheetViews>
    <sheetView tabSelected="1" workbookViewId="0">
      <selection activeCell="Q8" sqref="Q8"/>
    </sheetView>
  </sheetViews>
  <sheetFormatPr defaultColWidth="9.140625" defaultRowHeight="15"/>
  <cols>
    <col min="1" max="1" width="11.7109375" bestFit="1" customWidth="1"/>
    <col min="2" max="2" width="23.28515625" bestFit="1" customWidth="1"/>
    <col min="3" max="3" width="21.5703125" bestFit="1" customWidth="1"/>
    <col min="4" max="4" width="15.7109375" bestFit="1" customWidth="1"/>
    <col min="5" max="5" width="17.5703125" style="32" bestFit="1" customWidth="1"/>
    <col min="6" max="6" width="24.42578125" bestFit="1" customWidth="1"/>
    <col min="7" max="7" width="17.5703125" bestFit="1" customWidth="1"/>
    <col min="8" max="8" width="21.5703125" bestFit="1" customWidth="1"/>
    <col min="10" max="10" width="36.28515625" bestFit="1" customWidth="1"/>
    <col min="11" max="11" width="10" customWidth="1"/>
    <col min="12" max="12" width="12.28515625" bestFit="1" customWidth="1"/>
    <col min="13" max="13" width="24.42578125" bestFit="1" customWidth="1"/>
    <col min="14" max="14" width="15.7109375" bestFit="1" customWidth="1"/>
    <col min="15" max="15" width="15.42578125" bestFit="1" customWidth="1"/>
    <col min="21" max="21" width="16.85546875" style="11" customWidth="1"/>
    <col min="25" max="25" width="11.5703125" style="11" bestFit="1" customWidth="1"/>
  </cols>
  <sheetData>
    <row r="2" spans="1:30">
      <c r="A2" s="49" t="s">
        <v>122</v>
      </c>
      <c r="B2" s="49"/>
      <c r="C2" s="49"/>
      <c r="D2" s="49"/>
      <c r="E2" s="30"/>
      <c r="F2" s="1"/>
      <c r="G2" s="1"/>
      <c r="H2" s="1" t="s">
        <v>145</v>
      </c>
      <c r="J2" t="s">
        <v>82</v>
      </c>
      <c r="K2" s="49" t="s">
        <v>122</v>
      </c>
      <c r="L2" s="49"/>
      <c r="M2" s="49"/>
      <c r="N2" s="49"/>
    </row>
    <row r="3" spans="1:30">
      <c r="A3" s="49" t="s">
        <v>83</v>
      </c>
      <c r="B3" s="49"/>
      <c r="C3" s="49"/>
      <c r="D3" s="49"/>
      <c r="E3" s="30"/>
      <c r="F3" s="1"/>
      <c r="G3" s="1"/>
      <c r="K3" s="51" t="s">
        <v>205</v>
      </c>
      <c r="L3" s="49"/>
      <c r="M3" s="49"/>
      <c r="N3" s="49"/>
    </row>
    <row r="5" spans="1:30" ht="36">
      <c r="A5" s="1" t="s">
        <v>136</v>
      </c>
      <c r="B5" s="1" t="s">
        <v>7</v>
      </c>
      <c r="C5" s="1" t="s">
        <v>9</v>
      </c>
      <c r="D5" s="1" t="s">
        <v>137</v>
      </c>
      <c r="E5" s="31" t="s">
        <v>140</v>
      </c>
      <c r="F5" s="1"/>
      <c r="G5" s="1"/>
      <c r="H5" s="1" t="s">
        <v>138</v>
      </c>
      <c r="K5" s="35" t="s">
        <v>136</v>
      </c>
      <c r="L5" s="35" t="s">
        <v>7</v>
      </c>
      <c r="M5" s="35" t="s">
        <v>9</v>
      </c>
      <c r="N5" s="35" t="s">
        <v>137</v>
      </c>
      <c r="O5" s="31" t="s">
        <v>140</v>
      </c>
      <c r="Q5" s="39" t="s">
        <v>170</v>
      </c>
      <c r="R5" s="36" t="s">
        <v>171</v>
      </c>
      <c r="S5" s="36" t="s">
        <v>172</v>
      </c>
      <c r="T5" s="36" t="s">
        <v>173</v>
      </c>
      <c r="U5" s="39" t="s">
        <v>174</v>
      </c>
      <c r="V5" s="36" t="s">
        <v>169</v>
      </c>
      <c r="W5" s="42" t="s">
        <v>184</v>
      </c>
      <c r="AB5" s="11"/>
      <c r="AC5" s="11"/>
      <c r="AD5" s="11"/>
    </row>
    <row r="6" spans="1:30" ht="48.75" thickBot="1">
      <c r="A6" s="5">
        <v>1</v>
      </c>
      <c r="B6" s="43">
        <v>46071</v>
      </c>
      <c r="C6" s="12" t="s">
        <v>129</v>
      </c>
      <c r="D6" s="13" t="s">
        <v>143</v>
      </c>
      <c r="E6" s="32" t="str">
        <f>VLOOKUP(Table1[[#This Row],[Imam]],Table35[#All],2,FALSE)</f>
        <v>+6282320040021</v>
      </c>
      <c r="F6" s="3" t="s">
        <v>19</v>
      </c>
      <c r="G6" t="s">
        <v>38</v>
      </c>
      <c r="H6" t="s">
        <v>101</v>
      </c>
      <c r="J6" t="s">
        <v>129</v>
      </c>
      <c r="K6" s="5">
        <v>1</v>
      </c>
      <c r="L6" s="43">
        <v>46071</v>
      </c>
      <c r="M6" s="11" t="s">
        <v>101</v>
      </c>
      <c r="N6" s="13" t="s">
        <v>143</v>
      </c>
      <c r="O6" s="32" t="str">
        <f>VLOOKUP(Table16[[#This Row],[Imam]],Table35[#All],2,FALSE)</f>
        <v>+6282254991016</v>
      </c>
      <c r="Q6" s="40" t="s">
        <v>182</v>
      </c>
      <c r="R6" s="37" t="s">
        <v>175</v>
      </c>
      <c r="S6" s="37" t="s">
        <v>176</v>
      </c>
      <c r="T6" s="37" t="s">
        <v>177</v>
      </c>
      <c r="U6" s="40" t="s">
        <v>186</v>
      </c>
      <c r="V6" s="37" t="s">
        <v>178</v>
      </c>
      <c r="AB6" s="11"/>
      <c r="AC6" s="11"/>
      <c r="AD6" s="11"/>
    </row>
    <row r="7" spans="1:30" ht="36">
      <c r="A7" s="5">
        <f t="shared" ref="A7:A34" si="0">A6+1</f>
        <v>2</v>
      </c>
      <c r="B7" s="43">
        <v>46072</v>
      </c>
      <c r="C7" s="12" t="s">
        <v>127</v>
      </c>
      <c r="D7" s="13" t="s">
        <v>143</v>
      </c>
      <c r="E7" s="32" t="str">
        <f>VLOOKUP(Table1[[#This Row],[Imam]],Table35[#All],2,FALSE)</f>
        <v>+6281545143654</v>
      </c>
      <c r="F7" s="3" t="s">
        <v>24</v>
      </c>
      <c r="G7" t="s">
        <v>17</v>
      </c>
      <c r="H7" t="s">
        <v>34</v>
      </c>
      <c r="J7" t="s">
        <v>103</v>
      </c>
      <c r="K7" s="5">
        <f t="shared" ref="K7:K34" si="1">K6+1</f>
        <v>2</v>
      </c>
      <c r="L7" s="43">
        <v>46072</v>
      </c>
      <c r="M7" s="11" t="s">
        <v>34</v>
      </c>
      <c r="N7" s="13" t="s">
        <v>143</v>
      </c>
      <c r="O7" s="32" t="str">
        <f>VLOOKUP(Table16[[#This Row],[Imam]],Table35[#All],2,FALSE)</f>
        <v>+6285345800531</v>
      </c>
      <c r="Q7" s="41" t="s">
        <v>183</v>
      </c>
      <c r="R7" s="38" t="s">
        <v>179</v>
      </c>
      <c r="S7" s="38" t="s">
        <v>180</v>
      </c>
      <c r="T7" s="38"/>
      <c r="U7" s="41"/>
      <c r="V7" s="38" t="s">
        <v>181</v>
      </c>
      <c r="X7" s="11"/>
      <c r="Z7" s="11"/>
      <c r="AA7" s="11"/>
      <c r="AB7" s="11"/>
      <c r="AC7" s="11"/>
      <c r="AD7" s="11"/>
    </row>
    <row r="8" spans="1:30" ht="30">
      <c r="A8" s="5">
        <f t="shared" si="0"/>
        <v>3</v>
      </c>
      <c r="B8" s="43">
        <v>46073</v>
      </c>
      <c r="C8" s="12" t="s">
        <v>104</v>
      </c>
      <c r="D8" s="13" t="s">
        <v>143</v>
      </c>
      <c r="E8" s="32" t="str">
        <f>VLOOKUP(Table1[[#This Row],[Imam]],Table35[#All],2,FALSE)</f>
        <v>+6281341459342</v>
      </c>
      <c r="F8" s="3" t="s">
        <v>29</v>
      </c>
      <c r="G8" t="s">
        <v>84</v>
      </c>
      <c r="H8" t="s">
        <v>71</v>
      </c>
      <c r="J8" t="s">
        <v>104</v>
      </c>
      <c r="K8" s="5">
        <f t="shared" si="1"/>
        <v>3</v>
      </c>
      <c r="L8" s="43">
        <v>46073</v>
      </c>
      <c r="M8" s="11" t="s">
        <v>71</v>
      </c>
      <c r="N8" s="13" t="s">
        <v>143</v>
      </c>
      <c r="O8" s="32" t="str">
        <f>VLOOKUP(Table16[[#This Row],[Imam]],Table35[#All],2,FALSE)</f>
        <v>+6282274180206</v>
      </c>
      <c r="Q8" s="48" t="s">
        <v>187</v>
      </c>
      <c r="R8" s="45" t="s">
        <v>185</v>
      </c>
      <c r="S8" s="52" t="s">
        <v>208</v>
      </c>
      <c r="U8" s="48" t="s">
        <v>207</v>
      </c>
      <c r="X8" s="11"/>
      <c r="Z8" s="11"/>
      <c r="AA8" s="11"/>
      <c r="AB8" s="11"/>
      <c r="AC8" s="11"/>
      <c r="AD8" s="11"/>
    </row>
    <row r="9" spans="1:30" ht="60">
      <c r="A9" s="5">
        <f t="shared" si="0"/>
        <v>4</v>
      </c>
      <c r="B9" s="43">
        <v>46074</v>
      </c>
      <c r="C9" s="12" t="s">
        <v>130</v>
      </c>
      <c r="D9" s="13" t="s">
        <v>143</v>
      </c>
      <c r="E9" s="33" t="str">
        <f>VLOOKUP(Table1[[#This Row],[Imam]],Table35[#All],2,FALSE)</f>
        <v>+6285156952623</v>
      </c>
      <c r="F9" s="3" t="s">
        <v>32</v>
      </c>
      <c r="G9" s="5" t="s">
        <v>85</v>
      </c>
      <c r="H9" t="s">
        <v>139</v>
      </c>
      <c r="J9" t="s">
        <v>130</v>
      </c>
      <c r="K9" s="5">
        <f t="shared" si="1"/>
        <v>4</v>
      </c>
      <c r="L9" s="43">
        <v>46074</v>
      </c>
      <c r="M9" s="45" t="s">
        <v>39</v>
      </c>
      <c r="N9" s="13" t="s">
        <v>143</v>
      </c>
      <c r="O9" s="33" t="str">
        <f>VLOOKUP(Table16[[#This Row],[Imam]],Table35[#All],2,FALSE)</f>
        <v>+6285248770627</v>
      </c>
      <c r="Q9" s="48" t="s">
        <v>187</v>
      </c>
      <c r="R9" s="53" t="s">
        <v>209</v>
      </c>
      <c r="S9" s="52" t="s">
        <v>210</v>
      </c>
      <c r="U9" s="48" t="s">
        <v>207</v>
      </c>
      <c r="W9" s="11"/>
      <c r="X9" s="11"/>
      <c r="Z9" s="11"/>
      <c r="AA9" s="11"/>
      <c r="AB9" s="11"/>
      <c r="AC9" s="11"/>
      <c r="AD9" s="11"/>
    </row>
    <row r="10" spans="1:30">
      <c r="A10" s="5">
        <f t="shared" si="0"/>
        <v>5</v>
      </c>
      <c r="B10" s="43">
        <v>46075</v>
      </c>
      <c r="C10" s="12" t="s">
        <v>124</v>
      </c>
      <c r="D10" s="13" t="s">
        <v>143</v>
      </c>
      <c r="E10" s="32" t="str">
        <f>VLOOKUP(Table1[[#This Row],[Imam]],Table35[#All],2,FALSE)</f>
        <v>+6285388898918</v>
      </c>
      <c r="F10" s="3" t="s">
        <v>33</v>
      </c>
      <c r="G10" t="s">
        <v>86</v>
      </c>
      <c r="H10" t="s">
        <v>63</v>
      </c>
      <c r="J10" t="s">
        <v>124</v>
      </c>
      <c r="K10" s="5">
        <f t="shared" si="1"/>
        <v>5</v>
      </c>
      <c r="L10" s="43">
        <v>46075</v>
      </c>
      <c r="M10" s="11" t="s">
        <v>63</v>
      </c>
      <c r="N10" s="13" t="s">
        <v>143</v>
      </c>
      <c r="O10" s="32" t="str">
        <f>VLOOKUP(Table16[[#This Row],[Imam]],Table35[#All],2,FALSE)</f>
        <v>+6285389333869</v>
      </c>
      <c r="Q10" s="11"/>
      <c r="R10" s="11"/>
      <c r="S10" s="11"/>
      <c r="T10" s="11"/>
      <c r="V10" s="11"/>
      <c r="W10" s="11"/>
      <c r="X10" s="11"/>
      <c r="Z10" s="11"/>
      <c r="AA10" s="11"/>
      <c r="AB10" s="11"/>
      <c r="AC10" s="11"/>
      <c r="AD10" s="11"/>
    </row>
    <row r="11" spans="1:30">
      <c r="A11" s="5">
        <f t="shared" si="0"/>
        <v>6</v>
      </c>
      <c r="B11" s="43">
        <v>46076</v>
      </c>
      <c r="C11" s="12" t="s">
        <v>131</v>
      </c>
      <c r="D11" t="s">
        <v>143</v>
      </c>
      <c r="E11" s="32" t="str">
        <f>VLOOKUP(Table1[[#This Row],[Imam]],Table35[#All],2,FALSE)</f>
        <v>+6282153442363</v>
      </c>
      <c r="F11" s="3" t="s">
        <v>37</v>
      </c>
      <c r="G11" t="s">
        <v>45</v>
      </c>
      <c r="H11" t="s">
        <v>132</v>
      </c>
      <c r="J11" t="s">
        <v>131</v>
      </c>
      <c r="K11" s="5">
        <f t="shared" si="1"/>
        <v>6</v>
      </c>
      <c r="L11" s="43">
        <v>46076</v>
      </c>
      <c r="M11" s="11" t="s">
        <v>132</v>
      </c>
      <c r="N11" t="s">
        <v>143</v>
      </c>
      <c r="O11" s="32" t="str">
        <f>VLOOKUP(Table16[[#This Row],[Imam]],Table35[#All],2,FALSE)</f>
        <v>+6285754227966</v>
      </c>
      <c r="Q11" s="11"/>
      <c r="R11" s="11"/>
      <c r="S11" s="11"/>
      <c r="T11" s="11"/>
      <c r="V11" s="11"/>
      <c r="W11" s="11"/>
      <c r="X11" s="11"/>
      <c r="Z11" s="11"/>
      <c r="AA11" s="11"/>
      <c r="AB11" s="11"/>
      <c r="AC11" s="11"/>
      <c r="AD11" s="11"/>
    </row>
    <row r="12" spans="1:30">
      <c r="A12" s="5">
        <f t="shared" si="0"/>
        <v>7</v>
      </c>
      <c r="B12" s="43">
        <v>46077</v>
      </c>
      <c r="C12" s="12" t="s">
        <v>71</v>
      </c>
      <c r="D12" s="13" t="s">
        <v>143</v>
      </c>
      <c r="E12" s="32" t="str">
        <f>VLOOKUP(Table1[[#This Row],[Imam]],Table35[#All],2,FALSE)</f>
        <v>+6282274180206</v>
      </c>
      <c r="F12" s="3" t="s">
        <v>30</v>
      </c>
      <c r="G12" t="s">
        <v>90</v>
      </c>
      <c r="H12" t="s">
        <v>53</v>
      </c>
      <c r="J12" t="s">
        <v>71</v>
      </c>
      <c r="K12" s="5">
        <f t="shared" si="1"/>
        <v>7</v>
      </c>
      <c r="L12" s="43">
        <v>46077</v>
      </c>
      <c r="M12" s="11" t="s">
        <v>53</v>
      </c>
      <c r="N12" s="13" t="s">
        <v>143</v>
      </c>
      <c r="O12" s="32" t="str">
        <f>VLOOKUP(Table16[[#This Row],[Imam]],Table35[#All],2,FALSE)</f>
        <v>+6282123226368</v>
      </c>
      <c r="Q12" s="11"/>
      <c r="R12" s="11"/>
      <c r="S12" s="11"/>
      <c r="T12" s="11"/>
      <c r="V12" s="11"/>
      <c r="W12" s="11"/>
      <c r="X12" s="11"/>
      <c r="Z12" s="11"/>
      <c r="AA12" s="11"/>
      <c r="AB12" s="11"/>
      <c r="AC12" s="11"/>
      <c r="AD12" s="11"/>
    </row>
    <row r="13" spans="1:30">
      <c r="A13" s="5">
        <f t="shared" si="0"/>
        <v>8</v>
      </c>
      <c r="B13" s="43">
        <v>46078</v>
      </c>
      <c r="C13" s="12" t="s">
        <v>101</v>
      </c>
      <c r="D13" t="s">
        <v>143</v>
      </c>
      <c r="E13" s="32" t="str">
        <f>VLOOKUP(Table1[[#This Row],[Imam]],Table35[#All],2,FALSE)</f>
        <v>+6282254991016</v>
      </c>
      <c r="F13" s="3" t="s">
        <v>57</v>
      </c>
      <c r="G13" t="s">
        <v>88</v>
      </c>
      <c r="H13" t="s">
        <v>48</v>
      </c>
      <c r="J13" t="s">
        <v>101</v>
      </c>
      <c r="K13" s="5">
        <f t="shared" si="1"/>
        <v>8</v>
      </c>
      <c r="L13" s="43">
        <v>46078</v>
      </c>
      <c r="M13" s="11" t="s">
        <v>48</v>
      </c>
      <c r="N13" t="s">
        <v>143</v>
      </c>
      <c r="O13" s="32" t="str">
        <f>VLOOKUP(Table16[[#This Row],[Imam]],Table35[#All],2,FALSE)</f>
        <v>+6281351655536</v>
      </c>
      <c r="Q13" s="11"/>
      <c r="R13" s="11"/>
      <c r="S13" s="11"/>
      <c r="T13" s="11"/>
      <c r="V13" s="11"/>
      <c r="W13" s="11"/>
      <c r="X13" s="11"/>
      <c r="Z13" s="11"/>
      <c r="AA13" s="11"/>
      <c r="AB13" s="11"/>
      <c r="AC13" s="11"/>
      <c r="AD13" s="11"/>
    </row>
    <row r="14" spans="1:30">
      <c r="A14" s="5">
        <f t="shared" si="0"/>
        <v>9</v>
      </c>
      <c r="B14" s="43">
        <v>46079</v>
      </c>
      <c r="C14" s="12" t="s">
        <v>123</v>
      </c>
      <c r="D14" s="13" t="s">
        <v>143</v>
      </c>
      <c r="E14" s="32" t="str">
        <f>VLOOKUP(Table1[[#This Row],[Imam]],Table35[#All],2,FALSE)</f>
        <v>+6282252826688</v>
      </c>
      <c r="F14" s="3" t="s">
        <v>43</v>
      </c>
      <c r="G14" t="s">
        <v>72</v>
      </c>
      <c r="H14" t="s">
        <v>135</v>
      </c>
      <c r="J14" t="s">
        <v>123</v>
      </c>
      <c r="K14" s="5">
        <f t="shared" si="1"/>
        <v>9</v>
      </c>
      <c r="L14" s="43">
        <v>46079</v>
      </c>
      <c r="M14" s="11" t="s">
        <v>135</v>
      </c>
      <c r="N14" s="13" t="s">
        <v>143</v>
      </c>
      <c r="O14" s="32" t="str">
        <f>VLOOKUP(Table16[[#This Row],[Imam]],Table35[#All],2,FALSE)</f>
        <v>+6281324698218</v>
      </c>
      <c r="Q14" s="11"/>
      <c r="R14" s="11"/>
      <c r="S14" s="11"/>
      <c r="T14" s="11"/>
      <c r="V14" s="11"/>
      <c r="W14" s="11"/>
      <c r="X14" s="11"/>
      <c r="Z14" s="11"/>
      <c r="AA14" s="11"/>
      <c r="AB14" s="11"/>
      <c r="AC14" s="11"/>
      <c r="AD14" s="11"/>
    </row>
    <row r="15" spans="1:30">
      <c r="A15" s="5">
        <f t="shared" si="0"/>
        <v>10</v>
      </c>
      <c r="B15" s="43">
        <v>46080</v>
      </c>
      <c r="C15" s="12" t="s">
        <v>53</v>
      </c>
      <c r="D15" s="13" t="s">
        <v>143</v>
      </c>
      <c r="E15" s="32" t="str">
        <f>VLOOKUP(Table1[[#This Row],[Imam]],Table35[#All],2,FALSE)</f>
        <v>+6282123226368</v>
      </c>
      <c r="F15" s="3" t="s">
        <v>42</v>
      </c>
      <c r="G15" t="s">
        <v>89</v>
      </c>
      <c r="H15" t="s">
        <v>130</v>
      </c>
      <c r="J15" t="s">
        <v>53</v>
      </c>
      <c r="K15" s="5">
        <f t="shared" si="1"/>
        <v>10</v>
      </c>
      <c r="L15" s="43">
        <v>46080</v>
      </c>
      <c r="M15" s="11" t="s">
        <v>130</v>
      </c>
      <c r="N15" s="13" t="s">
        <v>143</v>
      </c>
      <c r="O15" s="32" t="str">
        <f>VLOOKUP(Table16[[#This Row],[Imam]],Table35[#All],2,FALSE)</f>
        <v>+6285156952623</v>
      </c>
      <c r="Q15" s="11"/>
      <c r="R15" s="11"/>
      <c r="S15" s="11"/>
      <c r="T15" s="11"/>
      <c r="V15" s="11"/>
      <c r="W15" s="11"/>
      <c r="X15" s="11"/>
      <c r="Z15" s="11"/>
      <c r="AA15" s="11"/>
      <c r="AB15" s="11"/>
      <c r="AC15" s="11"/>
      <c r="AD15" s="11"/>
    </row>
    <row r="16" spans="1:30">
      <c r="A16" s="5">
        <f t="shared" si="0"/>
        <v>11</v>
      </c>
      <c r="B16" s="43">
        <v>46081</v>
      </c>
      <c r="C16" s="12" t="s">
        <v>132</v>
      </c>
      <c r="D16" t="s">
        <v>143</v>
      </c>
      <c r="E16" s="32" t="str">
        <f>VLOOKUP(Table1[[#This Row],[Imam]],Table35[#All],2,FALSE)</f>
        <v>+6285754227966</v>
      </c>
      <c r="F16" s="3" t="s">
        <v>30</v>
      </c>
      <c r="G16" t="s">
        <v>90</v>
      </c>
      <c r="H16" t="s">
        <v>127</v>
      </c>
      <c r="J16" t="s">
        <v>132</v>
      </c>
      <c r="K16" s="5">
        <f t="shared" si="1"/>
        <v>11</v>
      </c>
      <c r="L16" s="43">
        <v>46081</v>
      </c>
      <c r="M16" s="11" t="s">
        <v>127</v>
      </c>
      <c r="N16" t="s">
        <v>143</v>
      </c>
      <c r="O16" s="32" t="str">
        <f>VLOOKUP(Table16[[#This Row],[Imam]],Table35[#All],2,FALSE)</f>
        <v>+6281545143654</v>
      </c>
      <c r="Q16" s="11"/>
      <c r="R16" s="11"/>
      <c r="S16" s="11"/>
      <c r="T16" s="11"/>
      <c r="V16" s="11"/>
      <c r="W16" s="11"/>
      <c r="X16" s="11"/>
      <c r="Z16" s="11"/>
      <c r="AA16" s="11"/>
      <c r="AB16" s="11"/>
      <c r="AC16" s="11"/>
      <c r="AD16" s="11"/>
    </row>
    <row r="17" spans="1:30">
      <c r="A17" s="5">
        <f t="shared" si="0"/>
        <v>12</v>
      </c>
      <c r="B17" s="43">
        <v>46082</v>
      </c>
      <c r="C17" s="12" t="s">
        <v>63</v>
      </c>
      <c r="D17" s="13" t="s">
        <v>143</v>
      </c>
      <c r="E17" s="32" t="str">
        <f>VLOOKUP(Table1[[#This Row],[Imam]],Table35[#All],2,FALSE)</f>
        <v>+6285389333869</v>
      </c>
      <c r="F17" s="3" t="s">
        <v>43</v>
      </c>
      <c r="G17" t="s">
        <v>72</v>
      </c>
      <c r="H17" t="s">
        <v>131</v>
      </c>
      <c r="J17" t="s">
        <v>63</v>
      </c>
      <c r="K17" s="5">
        <f t="shared" si="1"/>
        <v>12</v>
      </c>
      <c r="L17" s="43">
        <v>46082</v>
      </c>
      <c r="M17" s="11" t="s">
        <v>131</v>
      </c>
      <c r="N17" s="13" t="s">
        <v>143</v>
      </c>
      <c r="O17" s="32" t="str">
        <f>VLOOKUP(Table16[[#This Row],[Imam]],Table35[#All],2,FALSE)</f>
        <v>+6282153442363</v>
      </c>
      <c r="Q17" s="11"/>
      <c r="R17" s="11"/>
      <c r="S17" s="11"/>
      <c r="T17" s="11"/>
      <c r="V17" s="11"/>
      <c r="W17" s="11"/>
      <c r="X17" s="11"/>
      <c r="Z17" s="11"/>
      <c r="AA17" s="11"/>
      <c r="AB17" s="11"/>
      <c r="AC17" s="11"/>
      <c r="AD17" s="11"/>
    </row>
    <row r="18" spans="1:30">
      <c r="A18" s="5">
        <f t="shared" si="0"/>
        <v>13</v>
      </c>
      <c r="B18" s="43">
        <v>46083</v>
      </c>
      <c r="C18" s="12" t="s">
        <v>141</v>
      </c>
      <c r="E18" s="32" t="str">
        <f>VLOOKUP(Table1[[#This Row],[Imam]],Table35[#All],2,FALSE)</f>
        <v>+6281346326451</v>
      </c>
      <c r="F18" s="3" t="s">
        <v>52</v>
      </c>
      <c r="G18" t="s">
        <v>49</v>
      </c>
      <c r="H18" t="s">
        <v>101</v>
      </c>
      <c r="J18" t="s">
        <v>133</v>
      </c>
      <c r="K18" s="5">
        <f t="shared" si="1"/>
        <v>13</v>
      </c>
      <c r="L18" s="43">
        <v>46083</v>
      </c>
      <c r="M18" s="11" t="s">
        <v>101</v>
      </c>
      <c r="O18" s="32" t="str">
        <f>VLOOKUP(Table16[[#This Row],[Imam]],Table35[#All],2,FALSE)</f>
        <v>+6282254991016</v>
      </c>
      <c r="Q18" s="11"/>
      <c r="R18" s="11"/>
      <c r="S18" s="11"/>
      <c r="T18" s="11"/>
      <c r="V18" s="11"/>
      <c r="W18" s="11"/>
      <c r="X18" s="11"/>
      <c r="Z18" s="11"/>
      <c r="AA18" s="11"/>
      <c r="AB18" s="11"/>
      <c r="AC18" s="11"/>
      <c r="AD18" s="11"/>
    </row>
    <row r="19" spans="1:30">
      <c r="A19" s="5">
        <f t="shared" si="0"/>
        <v>14</v>
      </c>
      <c r="B19" s="43">
        <v>46084</v>
      </c>
      <c r="C19" s="12" t="s">
        <v>48</v>
      </c>
      <c r="D19" s="13" t="s">
        <v>143</v>
      </c>
      <c r="E19" s="32" t="str">
        <f>VLOOKUP(Table1[[#This Row],[Imam]],Table35[#All],2,FALSE)</f>
        <v>+6281351655536</v>
      </c>
      <c r="F19" s="3" t="s">
        <v>32</v>
      </c>
      <c r="G19" s="5" t="s">
        <v>85</v>
      </c>
      <c r="H19" t="s">
        <v>34</v>
      </c>
      <c r="J19" t="s">
        <v>48</v>
      </c>
      <c r="K19" s="5">
        <f t="shared" si="1"/>
        <v>14</v>
      </c>
      <c r="L19" s="43">
        <v>46084</v>
      </c>
      <c r="M19" s="11" t="s">
        <v>34</v>
      </c>
      <c r="N19" s="13" t="s">
        <v>143</v>
      </c>
      <c r="O19" s="32" t="str">
        <f>VLOOKUP(Table16[[#This Row],[Imam]],Table35[#All],2,FALSE)</f>
        <v>+6285345800531</v>
      </c>
      <c r="Q19" s="11"/>
      <c r="R19" s="11"/>
      <c r="S19" s="11"/>
      <c r="T19" s="11"/>
      <c r="V19" s="11"/>
      <c r="W19" s="11"/>
      <c r="X19" s="11"/>
      <c r="Z19" s="11"/>
      <c r="AA19" s="11"/>
      <c r="AB19" s="11"/>
      <c r="AC19" s="11"/>
      <c r="AD19" s="11"/>
    </row>
    <row r="20" spans="1:30">
      <c r="A20" s="5">
        <f t="shared" si="0"/>
        <v>15</v>
      </c>
      <c r="B20" s="43">
        <v>46085</v>
      </c>
      <c r="C20" s="34" t="s">
        <v>135</v>
      </c>
      <c r="E20" s="32" t="str">
        <f>VLOOKUP(Table1[[#This Row],[Imam]],Table35[#All],2,FALSE)</f>
        <v>+6281324698218</v>
      </c>
      <c r="F20" s="3" t="s">
        <v>30</v>
      </c>
      <c r="G20" t="s">
        <v>90</v>
      </c>
      <c r="H20" t="s">
        <v>71</v>
      </c>
      <c r="J20" t="s">
        <v>125</v>
      </c>
      <c r="K20" s="5">
        <f t="shared" si="1"/>
        <v>15</v>
      </c>
      <c r="L20" s="43">
        <v>46085</v>
      </c>
      <c r="M20" s="11" t="s">
        <v>71</v>
      </c>
      <c r="O20" s="32" t="str">
        <f>VLOOKUP(Table16[[#This Row],[Imam]],Table35[#All],2,FALSE)</f>
        <v>+6282274180206</v>
      </c>
      <c r="Q20" s="11"/>
      <c r="R20" s="11"/>
      <c r="S20" s="11"/>
      <c r="T20" s="11"/>
      <c r="V20" s="11"/>
      <c r="W20" s="11"/>
      <c r="X20" s="11"/>
      <c r="Z20" s="11"/>
      <c r="AA20" s="11"/>
      <c r="AB20" s="11"/>
      <c r="AC20" s="11"/>
      <c r="AD20" s="11"/>
    </row>
    <row r="21" spans="1:30">
      <c r="A21" s="5">
        <f t="shared" si="0"/>
        <v>16</v>
      </c>
      <c r="B21" s="43">
        <v>46086</v>
      </c>
      <c r="C21" s="12" t="s">
        <v>123</v>
      </c>
      <c r="D21" t="s">
        <v>143</v>
      </c>
      <c r="E21" s="32" t="str">
        <f>VLOOKUP(Table1[[#This Row],[Imam]],Table35[#All],2,FALSE)</f>
        <v>+6282252826688</v>
      </c>
      <c r="F21" s="3" t="s">
        <v>55</v>
      </c>
      <c r="G21" t="s">
        <v>35</v>
      </c>
      <c r="H21" t="s">
        <v>128</v>
      </c>
      <c r="J21" t="s">
        <v>134</v>
      </c>
      <c r="K21" s="5">
        <f t="shared" si="1"/>
        <v>16</v>
      </c>
      <c r="L21" s="43">
        <v>46086</v>
      </c>
      <c r="M21" s="11" t="s">
        <v>128</v>
      </c>
      <c r="N21" t="s">
        <v>143</v>
      </c>
      <c r="O21" s="32" t="str">
        <f>VLOOKUP(Table16[[#This Row],[Imam]],Table35[#All],2,FALSE)</f>
        <v>+628985520616</v>
      </c>
      <c r="Q21" s="11"/>
      <c r="R21" s="11"/>
      <c r="S21" s="11"/>
      <c r="T21" s="11"/>
      <c r="V21" s="11"/>
      <c r="W21" s="11"/>
      <c r="X21" s="11"/>
      <c r="Z21" s="11"/>
      <c r="AA21" s="11"/>
      <c r="AB21" s="11"/>
      <c r="AC21" s="11"/>
      <c r="AD21" s="11"/>
    </row>
    <row r="22" spans="1:30">
      <c r="A22" s="5">
        <f t="shared" si="0"/>
        <v>17</v>
      </c>
      <c r="B22" s="43">
        <v>46087</v>
      </c>
      <c r="C22" s="34" t="s">
        <v>135</v>
      </c>
      <c r="E22" s="32" t="str">
        <f>VLOOKUP(Table1[[#This Row],[Imam]],Table35[#All],2,FALSE)</f>
        <v>+6281324698218</v>
      </c>
      <c r="F22" s="3" t="s">
        <v>56</v>
      </c>
      <c r="G22" t="s">
        <v>91</v>
      </c>
      <c r="H22" t="s">
        <v>104</v>
      </c>
      <c r="J22" t="s">
        <v>126</v>
      </c>
      <c r="K22" s="5">
        <f t="shared" si="1"/>
        <v>17</v>
      </c>
      <c r="L22" s="43">
        <v>46087</v>
      </c>
      <c r="M22" s="11" t="s">
        <v>104</v>
      </c>
      <c r="O22" s="32" t="str">
        <f>VLOOKUP(Table16[[#This Row],[Imam]],Table35[#All],2,FALSE)</f>
        <v>+6281341459342</v>
      </c>
      <c r="Q22" s="11"/>
      <c r="R22" s="11"/>
      <c r="S22" s="11"/>
      <c r="T22" s="11"/>
      <c r="V22" s="11"/>
      <c r="W22" s="11"/>
      <c r="X22" s="11"/>
      <c r="Z22" s="11"/>
      <c r="AA22" s="11"/>
      <c r="AB22" s="11"/>
      <c r="AC22" s="11"/>
      <c r="AD22" s="11"/>
    </row>
    <row r="23" spans="1:30">
      <c r="A23" s="5">
        <f t="shared" si="0"/>
        <v>18</v>
      </c>
      <c r="B23" s="43">
        <v>46088</v>
      </c>
      <c r="C23" s="12" t="s">
        <v>34</v>
      </c>
      <c r="D23" t="s">
        <v>143</v>
      </c>
      <c r="E23" s="32" t="str">
        <f>VLOOKUP(Table1[[#This Row],[Imam]],Table35[#All],2,FALSE)</f>
        <v>+6285345800531</v>
      </c>
      <c r="F23" s="3" t="s">
        <v>51</v>
      </c>
      <c r="G23" t="s">
        <v>23</v>
      </c>
      <c r="H23" t="s">
        <v>53</v>
      </c>
      <c r="J23" t="s">
        <v>34</v>
      </c>
      <c r="K23" s="5">
        <f t="shared" si="1"/>
        <v>18</v>
      </c>
      <c r="L23" s="43">
        <v>46088</v>
      </c>
      <c r="M23" s="11" t="s">
        <v>53</v>
      </c>
      <c r="N23" t="s">
        <v>143</v>
      </c>
      <c r="O23" s="32" t="str">
        <f>VLOOKUP(Table16[[#This Row],[Imam]],Table35[#All],2,FALSE)</f>
        <v>+6282123226368</v>
      </c>
      <c r="Q23" s="11"/>
      <c r="R23" s="11"/>
      <c r="S23" s="11"/>
      <c r="T23" s="11"/>
      <c r="V23" s="11"/>
      <c r="W23" s="11"/>
      <c r="X23" s="11"/>
      <c r="Z23" s="11"/>
      <c r="AA23" s="11"/>
      <c r="AB23" s="11"/>
      <c r="AC23" s="11"/>
      <c r="AD23" s="11"/>
    </row>
    <row r="24" spans="1:30">
      <c r="A24" s="5">
        <f t="shared" si="0"/>
        <v>19</v>
      </c>
      <c r="B24" s="43">
        <v>46089</v>
      </c>
      <c r="C24" s="12" t="s">
        <v>128</v>
      </c>
      <c r="D24" s="13" t="s">
        <v>143</v>
      </c>
      <c r="E24" s="32" t="str">
        <f>VLOOKUP(Table1[[#This Row],[Imam]],Table35[#All],2,FALSE)</f>
        <v>+628985520616</v>
      </c>
      <c r="F24" s="3" t="s">
        <v>46</v>
      </c>
      <c r="G24" t="s">
        <v>92</v>
      </c>
      <c r="H24" t="s">
        <v>48</v>
      </c>
      <c r="J24" t="s">
        <v>128</v>
      </c>
      <c r="K24" s="5">
        <f t="shared" si="1"/>
        <v>19</v>
      </c>
      <c r="L24" s="43">
        <v>46089</v>
      </c>
      <c r="M24" s="11" t="s">
        <v>48</v>
      </c>
      <c r="N24" s="13" t="s">
        <v>143</v>
      </c>
      <c r="O24" s="32" t="str">
        <f>VLOOKUP(Table16[[#This Row],[Imam]],Table35[#All],2,FALSE)</f>
        <v>+6281351655536</v>
      </c>
      <c r="Q24" s="11"/>
      <c r="R24" s="11"/>
      <c r="S24" s="11"/>
      <c r="T24" s="11"/>
      <c r="V24" s="11"/>
      <c r="W24" s="11"/>
      <c r="X24" s="11"/>
      <c r="Z24" s="11"/>
      <c r="AA24" s="11"/>
      <c r="AB24" s="11"/>
      <c r="AC24" s="11"/>
      <c r="AD24" s="11"/>
    </row>
    <row r="25" spans="1:30">
      <c r="A25" s="5">
        <f t="shared" si="0"/>
        <v>20</v>
      </c>
      <c r="B25" s="43">
        <v>46090</v>
      </c>
      <c r="C25" s="12" t="s">
        <v>127</v>
      </c>
      <c r="D25" s="13" t="s">
        <v>143</v>
      </c>
      <c r="E25" s="32" t="str">
        <f>VLOOKUP(Table1[[#This Row],[Imam]],Table35[#All],2,FALSE)</f>
        <v>+6281545143654</v>
      </c>
      <c r="F25" s="3" t="s">
        <v>19</v>
      </c>
      <c r="G25" t="s">
        <v>38</v>
      </c>
      <c r="H25" t="s">
        <v>135</v>
      </c>
      <c r="J25" t="s">
        <v>135</v>
      </c>
      <c r="K25" s="5">
        <f t="shared" si="1"/>
        <v>20</v>
      </c>
      <c r="L25" s="43">
        <v>46090</v>
      </c>
      <c r="M25" s="11" t="s">
        <v>135</v>
      </c>
      <c r="N25" s="13" t="s">
        <v>143</v>
      </c>
      <c r="O25" s="32" t="str">
        <f>VLOOKUP(Table16[[#This Row],[Imam]],Table35[#All],2,FALSE)</f>
        <v>+6281324698218</v>
      </c>
      <c r="Q25" s="11"/>
      <c r="R25" s="11"/>
      <c r="S25" s="11"/>
      <c r="T25" s="11"/>
      <c r="V25" s="11"/>
      <c r="W25" s="11"/>
      <c r="X25" s="11"/>
      <c r="Z25" s="11"/>
      <c r="AA25" s="11"/>
      <c r="AB25" s="11"/>
      <c r="AC25" s="11"/>
      <c r="AD25" s="11"/>
    </row>
    <row r="26" spans="1:30">
      <c r="A26" s="5">
        <f t="shared" si="0"/>
        <v>21</v>
      </c>
      <c r="B26" s="43">
        <v>46091</v>
      </c>
      <c r="C26" s="12" t="s">
        <v>135</v>
      </c>
      <c r="D26" t="s">
        <v>143</v>
      </c>
      <c r="E26" s="32" t="str">
        <f>VLOOKUP(Table1[[#This Row],[Imam]],Table35[#All],2,FALSE)</f>
        <v>+6281324698218</v>
      </c>
      <c r="F26" s="3" t="s">
        <v>24</v>
      </c>
      <c r="G26" t="s">
        <v>17</v>
      </c>
      <c r="H26" t="s">
        <v>130</v>
      </c>
      <c r="J26" t="s">
        <v>127</v>
      </c>
      <c r="K26" s="5">
        <f t="shared" si="1"/>
        <v>21</v>
      </c>
      <c r="L26" s="43">
        <v>46091</v>
      </c>
      <c r="M26" s="11" t="s">
        <v>130</v>
      </c>
      <c r="N26" t="s">
        <v>143</v>
      </c>
      <c r="O26" s="32" t="str">
        <f>VLOOKUP(Table16[[#This Row],[Imam]],Table35[#All],2,FALSE)</f>
        <v>+6285156952623</v>
      </c>
      <c r="Q26" s="11"/>
      <c r="R26" s="11"/>
      <c r="S26" s="11"/>
      <c r="T26" s="11"/>
      <c r="V26" s="11"/>
      <c r="W26" s="11"/>
      <c r="X26" s="11"/>
      <c r="Z26" s="11"/>
      <c r="AA26" s="11"/>
      <c r="AB26" s="11"/>
      <c r="AC26" s="11"/>
      <c r="AD26" s="11"/>
    </row>
    <row r="27" spans="1:30">
      <c r="A27" s="5">
        <f t="shared" si="0"/>
        <v>22</v>
      </c>
      <c r="B27" s="43">
        <v>46092</v>
      </c>
      <c r="C27" t="s">
        <v>130</v>
      </c>
      <c r="D27" s="13" t="s">
        <v>143</v>
      </c>
      <c r="E27" s="33" t="str">
        <f>VLOOKUP(Table1[[#This Row],[Imam]],Table35[#All],2,FALSE)</f>
        <v>+6285156952623</v>
      </c>
      <c r="F27" s="3" t="s">
        <v>46</v>
      </c>
      <c r="G27" t="s">
        <v>92</v>
      </c>
      <c r="H27" t="s">
        <v>132</v>
      </c>
      <c r="K27" s="5">
        <f t="shared" si="1"/>
        <v>22</v>
      </c>
      <c r="L27" s="43">
        <v>46092</v>
      </c>
      <c r="M27" s="11" t="s">
        <v>132</v>
      </c>
      <c r="N27" s="13" t="s">
        <v>143</v>
      </c>
      <c r="O27" s="33" t="str">
        <f>VLOOKUP(Table16[[#This Row],[Imam]],Table35[#All],2,FALSE)</f>
        <v>+6285754227966</v>
      </c>
      <c r="Q27" s="11"/>
      <c r="R27" s="11"/>
      <c r="S27" s="11"/>
      <c r="T27" s="11"/>
      <c r="V27" s="11"/>
      <c r="W27" s="11"/>
      <c r="X27" s="11"/>
      <c r="Z27" s="11"/>
      <c r="AA27" s="11"/>
      <c r="AB27" s="11"/>
      <c r="AC27" s="11"/>
      <c r="AD27" s="11"/>
    </row>
    <row r="28" spans="1:30">
      <c r="A28" s="5">
        <f t="shared" si="0"/>
        <v>23</v>
      </c>
      <c r="B28" s="44">
        <v>46093</v>
      </c>
      <c r="C28" s="13" t="s">
        <v>146</v>
      </c>
      <c r="D28" s="13" t="s">
        <v>143</v>
      </c>
      <c r="E28" s="32" t="str">
        <f>VLOOKUP(Table1[[#This Row],[Imam]],Table35[#All],2,FALSE)</f>
        <v>+6281350170682</v>
      </c>
      <c r="F28" s="3" t="s">
        <v>33</v>
      </c>
      <c r="G28" t="s">
        <v>86</v>
      </c>
      <c r="H28" t="s">
        <v>53</v>
      </c>
      <c r="K28" s="5">
        <f t="shared" si="1"/>
        <v>23</v>
      </c>
      <c r="L28" s="44">
        <v>46093</v>
      </c>
      <c r="M28" s="11" t="s">
        <v>53</v>
      </c>
      <c r="N28" s="13" t="s">
        <v>143</v>
      </c>
      <c r="O28" s="32" t="str">
        <f>VLOOKUP(Table16[[#This Row],[Imam]],Table35[#All],2,FALSE)</f>
        <v>+6282123226368</v>
      </c>
      <c r="Q28" s="11"/>
      <c r="R28" s="11"/>
      <c r="S28" s="11"/>
      <c r="T28" s="11"/>
      <c r="V28" s="11"/>
      <c r="W28" s="11"/>
      <c r="X28" s="11"/>
      <c r="Z28" s="11"/>
      <c r="AA28" s="11"/>
      <c r="AB28" s="11"/>
      <c r="AC28" s="11"/>
      <c r="AD28" s="11"/>
    </row>
    <row r="29" spans="1:30">
      <c r="A29" s="5">
        <f t="shared" si="0"/>
        <v>24</v>
      </c>
      <c r="B29" s="44">
        <v>46094</v>
      </c>
      <c r="C29" t="s">
        <v>104</v>
      </c>
      <c r="D29" s="13" t="s">
        <v>143</v>
      </c>
      <c r="E29" s="32" t="str">
        <f>VLOOKUP(Table1[[#This Row],[Imam]],Table35[#All],2,FALSE)</f>
        <v>+6281341459342</v>
      </c>
      <c r="F29" s="3" t="s">
        <v>37</v>
      </c>
      <c r="G29" t="s">
        <v>45</v>
      </c>
      <c r="H29" t="s">
        <v>128</v>
      </c>
      <c r="K29" s="5">
        <f t="shared" si="1"/>
        <v>24</v>
      </c>
      <c r="L29" s="44">
        <v>46094</v>
      </c>
      <c r="M29" s="11" t="s">
        <v>128</v>
      </c>
      <c r="N29" s="13" t="s">
        <v>143</v>
      </c>
      <c r="O29" s="32" t="str">
        <f>VLOOKUP(Table16[[#This Row],[Imam]],Table35[#All],2,FALSE)</f>
        <v>+628985520616</v>
      </c>
      <c r="Q29" s="11"/>
      <c r="R29" s="11"/>
      <c r="S29" s="11"/>
      <c r="T29" s="11"/>
      <c r="V29" s="11"/>
      <c r="W29" s="11"/>
      <c r="X29" s="11"/>
      <c r="Z29" s="11"/>
      <c r="AA29" s="11"/>
      <c r="AB29" s="11"/>
      <c r="AC29" s="11"/>
      <c r="AD29" s="11"/>
    </row>
    <row r="30" spans="1:30">
      <c r="A30" s="5">
        <f t="shared" si="0"/>
        <v>25</v>
      </c>
      <c r="B30" s="44">
        <v>46095</v>
      </c>
      <c r="C30" t="s">
        <v>130</v>
      </c>
      <c r="D30" s="13" t="s">
        <v>143</v>
      </c>
      <c r="E30" s="32" t="str">
        <f>VLOOKUP(Table1[[#This Row],[Imam]],Table35[#All],2,FALSE)</f>
        <v>+6285156952623</v>
      </c>
      <c r="F30" s="3" t="s">
        <v>32</v>
      </c>
      <c r="G30" s="5" t="s">
        <v>85</v>
      </c>
      <c r="H30" t="s">
        <v>34</v>
      </c>
      <c r="J30" s="12"/>
      <c r="K30" s="5">
        <f t="shared" si="1"/>
        <v>25</v>
      </c>
      <c r="L30" s="44">
        <v>46095</v>
      </c>
      <c r="M30" s="11" t="s">
        <v>34</v>
      </c>
      <c r="N30" s="13" t="s">
        <v>143</v>
      </c>
      <c r="O30" s="32" t="str">
        <f>VLOOKUP(Table16[[#This Row],[Imam]],Table35[#All],2,FALSE)</f>
        <v>+6285345800531</v>
      </c>
      <c r="Q30" s="11"/>
      <c r="R30" s="11"/>
      <c r="S30" s="11"/>
      <c r="T30" s="11"/>
      <c r="V30" s="11"/>
      <c r="W30" s="11"/>
      <c r="X30" s="11"/>
      <c r="Z30" s="11"/>
      <c r="AA30" s="11"/>
      <c r="AB30" s="11"/>
      <c r="AC30" s="11"/>
      <c r="AD30" s="11"/>
    </row>
    <row r="31" spans="1:30">
      <c r="A31" s="5">
        <f t="shared" si="0"/>
        <v>26</v>
      </c>
      <c r="B31" s="44">
        <v>46096</v>
      </c>
      <c r="C31" t="s">
        <v>124</v>
      </c>
      <c r="D31" s="13" t="s">
        <v>143</v>
      </c>
      <c r="E31" s="32" t="str">
        <f>VLOOKUP(Table1[[#This Row],[Imam]],Table35[#All],2,FALSE)</f>
        <v>+6285388898918</v>
      </c>
      <c r="F31" s="3" t="s">
        <v>30</v>
      </c>
      <c r="G31" t="s">
        <v>90</v>
      </c>
      <c r="H31" t="s">
        <v>71</v>
      </c>
      <c r="K31" s="5">
        <f t="shared" si="1"/>
        <v>26</v>
      </c>
      <c r="L31" s="44">
        <v>46096</v>
      </c>
      <c r="M31" s="11" t="s">
        <v>71</v>
      </c>
      <c r="N31" s="13" t="s">
        <v>143</v>
      </c>
      <c r="O31" s="32" t="str">
        <f>VLOOKUP(Table16[[#This Row],[Imam]],Table35[#All],2,FALSE)</f>
        <v>+6282274180206</v>
      </c>
      <c r="Q31" s="11"/>
      <c r="R31" s="11"/>
      <c r="S31" s="11"/>
      <c r="T31" s="11"/>
      <c r="V31" s="11"/>
      <c r="W31" s="11"/>
      <c r="X31" s="11"/>
      <c r="Z31" s="11"/>
      <c r="AA31" s="11"/>
      <c r="AB31" s="11"/>
      <c r="AC31" s="11"/>
      <c r="AD31" s="11"/>
    </row>
    <row r="32" spans="1:30">
      <c r="A32" s="5">
        <f t="shared" si="0"/>
        <v>27</v>
      </c>
      <c r="B32" s="44">
        <v>46097</v>
      </c>
      <c r="C32" s="12" t="s">
        <v>53</v>
      </c>
      <c r="D32" s="13" t="s">
        <v>143</v>
      </c>
      <c r="E32" s="32" t="str">
        <f>VLOOKUP(Table1[[#This Row],[Imam]],Table35[#All],2,FALSE)</f>
        <v>+6282123226368</v>
      </c>
      <c r="F32" s="3" t="s">
        <v>42</v>
      </c>
      <c r="G32" t="s">
        <v>89</v>
      </c>
      <c r="H32" t="s">
        <v>63</v>
      </c>
      <c r="K32" s="5">
        <f t="shared" si="1"/>
        <v>27</v>
      </c>
      <c r="L32" s="44">
        <v>46097</v>
      </c>
      <c r="M32" s="11" t="s">
        <v>63</v>
      </c>
      <c r="N32" s="13" t="s">
        <v>143</v>
      </c>
      <c r="O32" s="32" t="str">
        <f>VLOOKUP(Table16[[#This Row],[Imam]],Table35[#All],2,FALSE)</f>
        <v>+6285389333869</v>
      </c>
      <c r="Q32" s="11"/>
      <c r="R32" s="11"/>
      <c r="S32" s="11"/>
      <c r="T32" s="11"/>
      <c r="V32" s="11"/>
      <c r="W32" s="11"/>
      <c r="X32" s="11"/>
      <c r="Z32" s="11"/>
      <c r="AA32" s="11"/>
      <c r="AB32" s="11"/>
      <c r="AC32" s="11"/>
      <c r="AD32" s="11"/>
    </row>
    <row r="33" spans="1:30">
      <c r="A33" s="5">
        <f t="shared" si="0"/>
        <v>28</v>
      </c>
      <c r="B33" s="44">
        <v>46098</v>
      </c>
      <c r="C33" t="s">
        <v>101</v>
      </c>
      <c r="D33" t="s">
        <v>143</v>
      </c>
      <c r="E33" s="32" t="str">
        <f>VLOOKUP(Table1[[#This Row],[Imam]],Table35[#All],2,FALSE)</f>
        <v>+6282254991016</v>
      </c>
      <c r="F33" s="3" t="s">
        <v>51</v>
      </c>
      <c r="G33" t="s">
        <v>23</v>
      </c>
      <c r="H33" t="s">
        <v>124</v>
      </c>
      <c r="K33" s="5">
        <f t="shared" si="1"/>
        <v>28</v>
      </c>
      <c r="L33" s="44">
        <v>46098</v>
      </c>
      <c r="M33" s="11" t="s">
        <v>124</v>
      </c>
      <c r="N33" t="s">
        <v>143</v>
      </c>
      <c r="O33" s="32" t="str">
        <f>VLOOKUP(Table16[[#This Row],[Imam]],Table35[#All],2,FALSE)</f>
        <v>+6285388898918</v>
      </c>
      <c r="Q33" s="11"/>
      <c r="R33" s="11"/>
      <c r="S33" s="11"/>
      <c r="T33" s="11"/>
      <c r="V33" s="11"/>
      <c r="W33" s="11"/>
      <c r="X33" s="11"/>
      <c r="Z33" s="11"/>
      <c r="AA33" s="11"/>
      <c r="AB33" s="11"/>
      <c r="AC33" s="11"/>
      <c r="AD33" s="11"/>
    </row>
    <row r="34" spans="1:30">
      <c r="A34" s="5">
        <f t="shared" si="0"/>
        <v>29</v>
      </c>
      <c r="B34" s="44">
        <v>46099</v>
      </c>
      <c r="C34" t="s">
        <v>71</v>
      </c>
      <c r="D34" s="13" t="s">
        <v>143</v>
      </c>
      <c r="E34" s="32" t="str">
        <f>VLOOKUP(Table1[[#This Row],[Imam]],Table35[#All],2,FALSE)</f>
        <v>+6282274180206</v>
      </c>
      <c r="F34" s="3" t="s">
        <v>51</v>
      </c>
      <c r="G34" t="s">
        <v>23</v>
      </c>
      <c r="H34" t="s">
        <v>101</v>
      </c>
      <c r="K34" s="5">
        <f t="shared" si="1"/>
        <v>29</v>
      </c>
      <c r="L34" s="44">
        <v>46099</v>
      </c>
      <c r="M34" s="11" t="s">
        <v>101</v>
      </c>
      <c r="N34" s="13" t="s">
        <v>143</v>
      </c>
      <c r="O34" s="32" t="str">
        <f>VLOOKUP(Table16[[#This Row],[Imam]],Table35[#All],2,FALSE)</f>
        <v>+6282254991016</v>
      </c>
      <c r="Q34" s="11"/>
      <c r="R34" s="11"/>
      <c r="S34" s="11"/>
      <c r="T34" s="11"/>
      <c r="V34" s="11"/>
      <c r="W34" s="11"/>
      <c r="X34" s="11"/>
      <c r="Z34" s="11"/>
      <c r="AA34" s="11"/>
      <c r="AB34" s="11"/>
      <c r="AC34" s="11"/>
      <c r="AD34" s="11"/>
    </row>
    <row r="35" spans="1:30">
      <c r="F35" s="3" t="s">
        <v>46</v>
      </c>
      <c r="G35" t="s">
        <v>92</v>
      </c>
      <c r="Q35" s="11"/>
      <c r="R35" s="11"/>
      <c r="S35" s="11"/>
      <c r="T35" s="11"/>
      <c r="V35" s="11"/>
      <c r="W35" s="11"/>
      <c r="X35" s="11"/>
      <c r="Z35" s="11"/>
      <c r="AA35" s="11"/>
      <c r="AB35" s="11"/>
      <c r="AC35" s="11"/>
      <c r="AD35" s="11"/>
    </row>
    <row r="36" spans="1:30">
      <c r="B36" s="50" t="s">
        <v>142</v>
      </c>
      <c r="C36" s="50"/>
      <c r="D36" s="50"/>
      <c r="E36" s="50"/>
      <c r="F36" s="50"/>
      <c r="G36" s="50"/>
      <c r="H36" s="50"/>
      <c r="I36" s="50"/>
      <c r="J36" s="50"/>
      <c r="Q36" s="11"/>
      <c r="R36" s="11"/>
      <c r="S36" s="11"/>
      <c r="T36" s="11"/>
      <c r="V36" s="11"/>
      <c r="W36" s="11"/>
      <c r="X36" s="11"/>
      <c r="Z36" s="11"/>
      <c r="AA36" s="11"/>
      <c r="AB36" s="11"/>
      <c r="AC36" s="11"/>
      <c r="AD36" s="11"/>
    </row>
    <row r="37" spans="1:30">
      <c r="Q37" s="11"/>
      <c r="R37" s="11"/>
      <c r="S37" s="11"/>
      <c r="T37" s="11"/>
      <c r="V37" s="11"/>
      <c r="W37" s="11"/>
      <c r="X37" s="11"/>
      <c r="Z37" s="11"/>
      <c r="AA37" s="11"/>
      <c r="AB37" s="11"/>
      <c r="AC37" s="11"/>
      <c r="AD37" s="11"/>
    </row>
    <row r="38" spans="1:30">
      <c r="F38" t="s">
        <v>167</v>
      </c>
      <c r="G38" t="s">
        <v>140</v>
      </c>
      <c r="H38" s="34" t="s">
        <v>169</v>
      </c>
      <c r="Q38" s="11"/>
      <c r="R38" s="11"/>
      <c r="S38" s="11"/>
      <c r="T38" s="11"/>
      <c r="V38" s="11"/>
      <c r="W38" s="11"/>
      <c r="X38" s="11"/>
      <c r="Z38" s="11"/>
      <c r="AA38" s="11"/>
      <c r="AB38" s="11"/>
      <c r="AC38" s="11"/>
      <c r="AD38" s="11"/>
    </row>
    <row r="39" spans="1:30">
      <c r="F39" s="11" t="s">
        <v>129</v>
      </c>
      <c r="G39" s="11" t="s">
        <v>188</v>
      </c>
      <c r="H39">
        <f>COUNTIF(Table1[Imam],Table35[[#This Row],[Nama]])</f>
        <v>1</v>
      </c>
      <c r="J39" s="3" t="s">
        <v>19</v>
      </c>
      <c r="K39" t="s">
        <v>38</v>
      </c>
      <c r="Q39" s="11"/>
      <c r="R39" s="11"/>
      <c r="S39" s="11"/>
      <c r="T39" s="11"/>
      <c r="V39" s="11"/>
      <c r="W39" s="11"/>
      <c r="X39" s="11"/>
      <c r="Z39" s="11"/>
      <c r="AA39" s="11"/>
      <c r="AB39" s="11"/>
      <c r="AC39" s="11"/>
      <c r="AD39" s="11"/>
    </row>
    <row r="40" spans="1:30">
      <c r="C40" s="26"/>
      <c r="D40" s="27"/>
      <c r="F40" s="11" t="s">
        <v>104</v>
      </c>
      <c r="G40" s="11" t="s">
        <v>189</v>
      </c>
      <c r="H40">
        <f>COUNTIF(Table1[Imam],Table35[[#This Row],[Nama]])</f>
        <v>2</v>
      </c>
      <c r="J40" s="3" t="s">
        <v>24</v>
      </c>
      <c r="K40" t="s">
        <v>17</v>
      </c>
      <c r="Q40" s="11"/>
      <c r="R40" s="11"/>
      <c r="S40" s="11"/>
      <c r="T40" s="11"/>
      <c r="V40" s="11"/>
      <c r="W40" s="11"/>
      <c r="X40" s="11"/>
      <c r="Z40" s="11"/>
      <c r="AA40" s="11"/>
      <c r="AB40" s="11"/>
      <c r="AC40" s="11"/>
      <c r="AD40" s="11"/>
    </row>
    <row r="41" spans="1:30">
      <c r="C41" s="25"/>
      <c r="D41" s="28"/>
      <c r="F41" s="11" t="s">
        <v>146</v>
      </c>
      <c r="G41" s="11" t="s">
        <v>190</v>
      </c>
      <c r="H41">
        <f>COUNTIF(Table1[Imam],Table35[[#This Row],[Nama]])</f>
        <v>1</v>
      </c>
      <c r="J41" s="3" t="s">
        <v>29</v>
      </c>
      <c r="K41" t="s">
        <v>84</v>
      </c>
      <c r="Q41" s="11"/>
      <c r="R41" s="11"/>
      <c r="S41" s="11"/>
      <c r="T41" s="11"/>
      <c r="V41" s="11"/>
      <c r="W41" s="11"/>
      <c r="X41" s="11"/>
      <c r="Z41" s="11"/>
      <c r="AA41" s="11"/>
      <c r="AB41" s="11"/>
      <c r="AC41" s="11"/>
      <c r="AD41" s="11"/>
    </row>
    <row r="42" spans="1:30">
      <c r="C42" s="26"/>
      <c r="D42" s="27"/>
      <c r="F42" s="11" t="s">
        <v>130</v>
      </c>
      <c r="G42" s="11" t="s">
        <v>191</v>
      </c>
      <c r="H42">
        <f>COUNTIF(Table1[Imam],Table35[[#This Row],[Nama]])</f>
        <v>3</v>
      </c>
      <c r="J42" s="3" t="s">
        <v>32</v>
      </c>
      <c r="K42" s="5" t="s">
        <v>85</v>
      </c>
      <c r="Q42" s="11"/>
      <c r="R42" s="11"/>
      <c r="S42" s="11"/>
      <c r="T42" s="11"/>
      <c r="V42" s="11"/>
      <c r="W42" s="11"/>
      <c r="X42" s="11"/>
      <c r="Z42" s="11"/>
      <c r="AA42" s="11"/>
      <c r="AB42" s="11"/>
      <c r="AC42" s="11"/>
      <c r="AD42" s="11"/>
    </row>
    <row r="43" spans="1:30">
      <c r="C43" s="25"/>
      <c r="D43" s="29"/>
      <c r="F43" s="11" t="s">
        <v>124</v>
      </c>
      <c r="G43" s="11" t="s">
        <v>192</v>
      </c>
      <c r="H43">
        <f>COUNTIF(Table1[Imam],Table35[[#This Row],[Nama]])</f>
        <v>2</v>
      </c>
      <c r="J43" s="3" t="s">
        <v>33</v>
      </c>
      <c r="K43" t="s">
        <v>86</v>
      </c>
    </row>
    <row r="44" spans="1:30">
      <c r="C44" s="26"/>
      <c r="D44" s="27"/>
      <c r="F44" s="11" t="s">
        <v>131</v>
      </c>
      <c r="G44" s="11" t="s">
        <v>193</v>
      </c>
      <c r="H44">
        <f>COUNTIF(Table1[Imam],Table35[[#This Row],[Nama]])</f>
        <v>1</v>
      </c>
      <c r="J44" s="3" t="s">
        <v>37</v>
      </c>
      <c r="K44" t="s">
        <v>45</v>
      </c>
    </row>
    <row r="45" spans="1:30">
      <c r="C45" s="25"/>
      <c r="D45" s="28"/>
      <c r="F45" s="11" t="s">
        <v>71</v>
      </c>
      <c r="G45" s="11" t="s">
        <v>194</v>
      </c>
      <c r="H45">
        <f>COUNTIF(Table1[Imam],Table35[[#This Row],[Nama]])</f>
        <v>2</v>
      </c>
      <c r="J45" s="3" t="s">
        <v>30</v>
      </c>
      <c r="K45" t="s">
        <v>87</v>
      </c>
    </row>
    <row r="46" spans="1:30">
      <c r="C46" s="26"/>
      <c r="D46" s="27"/>
      <c r="F46" s="11" t="s">
        <v>101</v>
      </c>
      <c r="G46" s="11" t="s">
        <v>195</v>
      </c>
      <c r="H46">
        <f>COUNTIF(Table1[Imam],Table35[[#This Row],[Nama]])</f>
        <v>2</v>
      </c>
      <c r="J46" s="3" t="s">
        <v>57</v>
      </c>
      <c r="K46" t="s">
        <v>88</v>
      </c>
    </row>
    <row r="47" spans="1:30">
      <c r="C47" s="25"/>
      <c r="D47" s="28"/>
      <c r="F47" s="11" t="s">
        <v>123</v>
      </c>
      <c r="G47" s="11" t="s">
        <v>196</v>
      </c>
      <c r="H47">
        <f>COUNTIF(Table1[Imam],Table35[[#This Row],[Nama]])</f>
        <v>2</v>
      </c>
      <c r="J47" s="3" t="s">
        <v>43</v>
      </c>
      <c r="K47" t="s">
        <v>72</v>
      </c>
    </row>
    <row r="48" spans="1:30">
      <c r="C48" s="26"/>
      <c r="D48" s="27"/>
      <c r="F48" s="11" t="s">
        <v>53</v>
      </c>
      <c r="G48" s="11" t="s">
        <v>197</v>
      </c>
      <c r="H48">
        <f>COUNTIF(Table1[Imam],Table35[[#This Row],[Nama]])</f>
        <v>2</v>
      </c>
      <c r="J48" s="3" t="s">
        <v>42</v>
      </c>
      <c r="K48" t="s">
        <v>89</v>
      </c>
    </row>
    <row r="49" spans="3:11">
      <c r="C49" s="25"/>
      <c r="D49" s="28"/>
      <c r="F49" s="11" t="s">
        <v>132</v>
      </c>
      <c r="G49" s="11" t="s">
        <v>198</v>
      </c>
      <c r="H49">
        <f>COUNTIF(Table1[Imam],Table35[[#This Row],[Nama]])</f>
        <v>1</v>
      </c>
      <c r="J49" s="3" t="s">
        <v>30</v>
      </c>
      <c r="K49" t="s">
        <v>90</v>
      </c>
    </row>
    <row r="50" spans="3:11">
      <c r="C50" s="26"/>
      <c r="D50" s="27"/>
      <c r="F50" s="11" t="s">
        <v>63</v>
      </c>
      <c r="G50" s="11" t="s">
        <v>199</v>
      </c>
      <c r="H50">
        <f>COUNTIF(Table1[Imam],Table35[[#This Row],[Nama]])</f>
        <v>1</v>
      </c>
      <c r="J50" s="3" t="s">
        <v>43</v>
      </c>
      <c r="K50" t="s">
        <v>72</v>
      </c>
    </row>
    <row r="51" spans="3:11">
      <c r="C51" s="25"/>
      <c r="D51" s="28"/>
      <c r="F51" s="11" t="s">
        <v>141</v>
      </c>
      <c r="G51" s="11" t="s">
        <v>200</v>
      </c>
      <c r="H51">
        <f>COUNTIF(Table1[Imam],Table35[[#This Row],[Nama]])</f>
        <v>1</v>
      </c>
      <c r="J51" s="3" t="s">
        <v>52</v>
      </c>
      <c r="K51" t="s">
        <v>49</v>
      </c>
    </row>
    <row r="52" spans="3:11">
      <c r="C52" s="26"/>
      <c r="D52" s="27"/>
      <c r="F52" s="11" t="s">
        <v>48</v>
      </c>
      <c r="G52" s="11" t="s">
        <v>201</v>
      </c>
      <c r="H52">
        <f>COUNTIF(Table1[Imam],Table35[[#This Row],[Nama]])</f>
        <v>1</v>
      </c>
      <c r="J52" s="3" t="s">
        <v>32</v>
      </c>
      <c r="K52" s="5" t="s">
        <v>85</v>
      </c>
    </row>
    <row r="53" spans="3:11">
      <c r="C53" s="25"/>
      <c r="D53" s="28"/>
      <c r="F53" s="11" t="s">
        <v>34</v>
      </c>
      <c r="G53" s="11" t="s">
        <v>202</v>
      </c>
      <c r="H53">
        <f>COUNTIF(Table1[Imam],Table35[[#This Row],[Nama]])</f>
        <v>1</v>
      </c>
      <c r="J53" s="3" t="s">
        <v>30</v>
      </c>
      <c r="K53" t="s">
        <v>90</v>
      </c>
    </row>
    <row r="54" spans="3:11">
      <c r="C54" s="25"/>
      <c r="D54" s="28"/>
      <c r="F54" s="11" t="s">
        <v>128</v>
      </c>
      <c r="G54" s="11" t="s">
        <v>203</v>
      </c>
      <c r="H54">
        <f>COUNTIF(Table1[Imam],Table35[[#This Row],[Nama]])</f>
        <v>1</v>
      </c>
      <c r="J54" s="3" t="s">
        <v>55</v>
      </c>
      <c r="K54" t="s">
        <v>35</v>
      </c>
    </row>
    <row r="55" spans="3:11">
      <c r="C55" s="25"/>
      <c r="D55" s="28"/>
      <c r="F55" s="11" t="s">
        <v>135</v>
      </c>
      <c r="G55" s="11" t="s">
        <v>204</v>
      </c>
      <c r="H55">
        <f>COUNTIF(Table1[Imam],Table35[[#This Row],[Nama]])</f>
        <v>3</v>
      </c>
      <c r="J55" s="3" t="s">
        <v>56</v>
      </c>
      <c r="K55" t="s">
        <v>91</v>
      </c>
    </row>
    <row r="56" spans="3:11">
      <c r="C56" s="26"/>
      <c r="D56" s="27"/>
      <c r="F56" s="11" t="s">
        <v>127</v>
      </c>
      <c r="G56" s="11" t="s">
        <v>187</v>
      </c>
      <c r="H56">
        <f>COUNTIF(Table1[Imam],Table35[[#This Row],[Nama]])</f>
        <v>2</v>
      </c>
      <c r="J56" s="3" t="s">
        <v>51</v>
      </c>
      <c r="K56" t="s">
        <v>23</v>
      </c>
    </row>
    <row r="57" spans="3:11">
      <c r="C57" s="25"/>
      <c r="D57" s="28"/>
      <c r="F57" s="45" t="s">
        <v>39</v>
      </c>
      <c r="G57" s="46" t="s">
        <v>206</v>
      </c>
      <c r="H57" s="47">
        <f>COUNTIF(Table1[Imam],Table35[[#This Row],[Nama]])</f>
        <v>0</v>
      </c>
      <c r="J57" s="3" t="s">
        <v>46</v>
      </c>
      <c r="K57" t="s">
        <v>92</v>
      </c>
    </row>
    <row r="58" spans="3:11">
      <c r="C58" s="26"/>
      <c r="D58" s="27"/>
      <c r="J58" s="3" t="s">
        <v>19</v>
      </c>
      <c r="K58" t="s">
        <v>38</v>
      </c>
    </row>
    <row r="59" spans="3:11">
      <c r="C59" s="23"/>
      <c r="D59" s="29"/>
      <c r="F59" s="11" t="s">
        <v>129</v>
      </c>
      <c r="G59" s="11" t="s">
        <v>188</v>
      </c>
      <c r="J59" s="3" t="s">
        <v>24</v>
      </c>
      <c r="K59" t="s">
        <v>17</v>
      </c>
    </row>
    <row r="60" spans="3:11">
      <c r="C60" s="16"/>
      <c r="D60" s="27"/>
      <c r="F60" s="11" t="s">
        <v>104</v>
      </c>
      <c r="G60" s="11" t="s">
        <v>189</v>
      </c>
      <c r="H60" s="11"/>
      <c r="J60" s="3" t="s">
        <v>46</v>
      </c>
      <c r="K60" t="s">
        <v>92</v>
      </c>
    </row>
    <row r="61" spans="3:11">
      <c r="C61" s="23"/>
      <c r="D61" s="28"/>
      <c r="F61" s="11" t="s">
        <v>146</v>
      </c>
      <c r="G61" s="11" t="s">
        <v>190</v>
      </c>
      <c r="H61" s="11"/>
      <c r="J61" s="3" t="s">
        <v>33</v>
      </c>
      <c r="K61" t="s">
        <v>86</v>
      </c>
    </row>
    <row r="62" spans="3:11">
      <c r="C62" s="24"/>
      <c r="D62" s="27"/>
      <c r="F62" s="11" t="s">
        <v>130</v>
      </c>
      <c r="G62" s="11" t="s">
        <v>191</v>
      </c>
      <c r="H62" s="11"/>
      <c r="J62" s="3" t="s">
        <v>37</v>
      </c>
      <c r="K62" t="s">
        <v>45</v>
      </c>
    </row>
    <row r="63" spans="3:11">
      <c r="C63" s="23"/>
      <c r="D63" s="28"/>
      <c r="F63" s="11" t="s">
        <v>124</v>
      </c>
      <c r="G63" s="11" t="s">
        <v>192</v>
      </c>
      <c r="H63" s="11"/>
      <c r="J63" s="3" t="s">
        <v>32</v>
      </c>
      <c r="K63" s="5" t="s">
        <v>85</v>
      </c>
    </row>
    <row r="64" spans="3:11">
      <c r="C64" s="26"/>
      <c r="D64" s="27"/>
      <c r="F64" s="11" t="s">
        <v>131</v>
      </c>
      <c r="G64" s="11" t="s">
        <v>193</v>
      </c>
      <c r="H64" s="11"/>
      <c r="J64" s="3" t="s">
        <v>30</v>
      </c>
      <c r="K64" t="s">
        <v>90</v>
      </c>
    </row>
    <row r="65" spans="3:11">
      <c r="C65" s="23"/>
      <c r="D65" s="28"/>
      <c r="F65" s="11" t="s">
        <v>71</v>
      </c>
      <c r="G65" s="11" t="s">
        <v>194</v>
      </c>
      <c r="H65" s="11"/>
      <c r="J65" s="3" t="s">
        <v>42</v>
      </c>
      <c r="K65" t="s">
        <v>89</v>
      </c>
    </row>
    <row r="66" spans="3:11">
      <c r="C66" s="24"/>
      <c r="D66" s="27"/>
      <c r="F66" s="11" t="s">
        <v>101</v>
      </c>
      <c r="G66" s="11" t="s">
        <v>195</v>
      </c>
      <c r="H66" s="11"/>
      <c r="J66" s="3" t="s">
        <v>51</v>
      </c>
      <c r="K66" t="s">
        <v>23</v>
      </c>
    </row>
    <row r="67" spans="3:11">
      <c r="F67" s="11" t="s">
        <v>123</v>
      </c>
      <c r="G67" s="11" t="s">
        <v>196</v>
      </c>
      <c r="H67" s="11"/>
      <c r="J67" s="3" t="s">
        <v>51</v>
      </c>
      <c r="K67" t="s">
        <v>23</v>
      </c>
    </row>
    <row r="68" spans="3:11">
      <c r="F68" s="11" t="s">
        <v>53</v>
      </c>
      <c r="G68" s="11" t="s">
        <v>197</v>
      </c>
      <c r="H68" s="11"/>
      <c r="J68" s="3" t="s">
        <v>46</v>
      </c>
      <c r="K68" t="s">
        <v>92</v>
      </c>
    </row>
    <row r="69" spans="3:11">
      <c r="D69" s="11"/>
      <c r="F69" s="11" t="s">
        <v>132</v>
      </c>
      <c r="G69" s="11" t="s">
        <v>198</v>
      </c>
      <c r="H69" s="11"/>
    </row>
    <row r="70" spans="3:11">
      <c r="F70" s="11" t="s">
        <v>63</v>
      </c>
      <c r="G70" s="11" t="s">
        <v>199</v>
      </c>
      <c r="H70" s="11"/>
    </row>
    <row r="71" spans="3:11">
      <c r="F71" s="11" t="s">
        <v>141</v>
      </c>
      <c r="G71" s="11" t="s">
        <v>200</v>
      </c>
      <c r="H71" s="11"/>
    </row>
    <row r="72" spans="3:11">
      <c r="F72" s="11" t="s">
        <v>48</v>
      </c>
      <c r="G72" s="11" t="s">
        <v>201</v>
      </c>
      <c r="H72" s="11"/>
    </row>
    <row r="73" spans="3:11">
      <c r="F73" s="11" t="s">
        <v>34</v>
      </c>
      <c r="G73" s="11" t="s">
        <v>202</v>
      </c>
      <c r="H73" s="11"/>
    </row>
    <row r="74" spans="3:11">
      <c r="F74" s="11" t="s">
        <v>128</v>
      </c>
      <c r="G74" s="11" t="s">
        <v>203</v>
      </c>
      <c r="H74" s="11"/>
    </row>
    <row r="75" spans="3:11">
      <c r="F75" s="11" t="s">
        <v>135</v>
      </c>
      <c r="G75" s="11" t="s">
        <v>204</v>
      </c>
      <c r="H75" s="11"/>
    </row>
    <row r="76" spans="3:11">
      <c r="F76" s="11" t="s">
        <v>127</v>
      </c>
      <c r="G76" s="11" t="s">
        <v>187</v>
      </c>
      <c r="H76" s="11"/>
    </row>
    <row r="77" spans="3:11">
      <c r="F77" s="11"/>
      <c r="G77" s="11"/>
      <c r="H77" s="11"/>
    </row>
    <row r="78" spans="3:11">
      <c r="F78" s="11"/>
      <c r="G78" s="11"/>
      <c r="H78" s="11"/>
    </row>
    <row r="79" spans="3:11">
      <c r="F79" s="11"/>
      <c r="G79" s="11"/>
      <c r="H79" s="11"/>
    </row>
    <row r="80" spans="3:11">
      <c r="F80" s="11"/>
      <c r="G80" s="11"/>
      <c r="H80" s="11"/>
    </row>
    <row r="81" spans="6:8">
      <c r="F81" s="11"/>
      <c r="G81" s="11"/>
      <c r="H81" s="11"/>
    </row>
    <row r="82" spans="6:8">
      <c r="F82" s="11"/>
      <c r="G82" s="11"/>
      <c r="H82" s="11"/>
    </row>
    <row r="83" spans="6:8">
      <c r="F83" s="11"/>
      <c r="G83" s="11"/>
      <c r="H83" s="11"/>
    </row>
    <row r="84" spans="6:8">
      <c r="F84" s="11"/>
      <c r="G84" s="11"/>
      <c r="H84" s="11"/>
    </row>
  </sheetData>
  <sortState xmlns:xlrd2="http://schemas.microsoft.com/office/spreadsheetml/2017/richdata2" ref="J6:J27">
    <sortCondition ref="J6:J27"/>
  </sortState>
  <mergeCells count="5">
    <mergeCell ref="A2:D2"/>
    <mergeCell ref="A3:D3"/>
    <mergeCell ref="B36:J36"/>
    <mergeCell ref="K2:N2"/>
    <mergeCell ref="K3:N3"/>
  </mergeCells>
  <conditionalFormatting sqref="C6:C34 C40:C66">
    <cfRule type="cellIs" dxfId="23" priority="6" operator="equal">
      <formula>IF(C6="", TRUE, FALSE)</formula>
    </cfRule>
  </conditionalFormatting>
  <conditionalFormatting sqref="H6:H34">
    <cfRule type="cellIs" dxfId="22" priority="7" operator="equal">
      <formula>C6</formula>
    </cfRule>
  </conditionalFormatting>
  <conditionalFormatting sqref="M9">
    <cfRule type="cellIs" dxfId="21" priority="2" operator="equal">
      <formula>IF(M9="", TRUE, FALSE)</formula>
    </cfRule>
  </conditionalFormatting>
  <conditionalFormatting sqref="H39:H5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57">
    <cfRule type="cellIs" dxfId="20" priority="1" operator="equal">
      <formula>IF(F57="", TRUE, FALSE)</formula>
    </cfRule>
  </conditionalFormatting>
  <pageMargins left="0.75" right="0.75" top="1" bottom="1" header="0.5" footer="0.5"/>
  <pageSetup orientation="portrait" r:id="rId1"/>
  <drawing r:id="rId2"/>
  <tableParts count="3"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773B5-9BD6-450E-BCDE-877D76BB9F3C}">
  <dimension ref="A1:B19"/>
  <sheetViews>
    <sheetView workbookViewId="0">
      <selection sqref="A1:B19"/>
    </sheetView>
  </sheetViews>
  <sheetFormatPr defaultRowHeight="15"/>
  <cols>
    <col min="1" max="1" width="21.5703125" bestFit="1" customWidth="1"/>
    <col min="2" max="2" width="13.140625" bestFit="1" customWidth="1"/>
  </cols>
  <sheetData>
    <row r="1" spans="1:2">
      <c r="A1" t="s">
        <v>167</v>
      </c>
      <c r="B1" t="s">
        <v>140</v>
      </c>
    </row>
    <row r="2" spans="1:2">
      <c r="A2" s="26" t="s">
        <v>129</v>
      </c>
      <c r="B2" s="27" t="s">
        <v>147</v>
      </c>
    </row>
    <row r="3" spans="1:2">
      <c r="A3" s="26" t="s">
        <v>104</v>
      </c>
      <c r="B3" s="27" t="s">
        <v>149</v>
      </c>
    </row>
    <row r="4" spans="1:2">
      <c r="A4" s="16" t="s">
        <v>146</v>
      </c>
      <c r="B4" s="27" t="s">
        <v>166</v>
      </c>
    </row>
    <row r="5" spans="1:2">
      <c r="A5" s="25" t="s">
        <v>130</v>
      </c>
      <c r="B5" s="29" t="s">
        <v>168</v>
      </c>
    </row>
    <row r="6" spans="1:2">
      <c r="A6" s="26" t="s">
        <v>124</v>
      </c>
      <c r="B6" s="27" t="s">
        <v>151</v>
      </c>
    </row>
    <row r="7" spans="1:2">
      <c r="A7" s="25" t="s">
        <v>131</v>
      </c>
      <c r="B7" s="28" t="s">
        <v>152</v>
      </c>
    </row>
    <row r="8" spans="1:2">
      <c r="A8" s="26" t="s">
        <v>71</v>
      </c>
      <c r="B8" s="27" t="s">
        <v>153</v>
      </c>
    </row>
    <row r="9" spans="1:2">
      <c r="A9" s="25" t="s">
        <v>101</v>
      </c>
      <c r="B9" s="28" t="s">
        <v>154</v>
      </c>
    </row>
    <row r="10" spans="1:2">
      <c r="A10" s="26" t="s">
        <v>123</v>
      </c>
      <c r="B10" s="27" t="s">
        <v>155</v>
      </c>
    </row>
    <row r="11" spans="1:2">
      <c r="A11" s="25" t="s">
        <v>53</v>
      </c>
      <c r="B11" s="28" t="s">
        <v>156</v>
      </c>
    </row>
    <row r="12" spans="1:2">
      <c r="A12" s="26" t="s">
        <v>132</v>
      </c>
      <c r="B12" s="27" t="s">
        <v>150</v>
      </c>
    </row>
    <row r="13" spans="1:2">
      <c r="A13" s="25" t="s">
        <v>63</v>
      </c>
      <c r="B13" s="28" t="s">
        <v>157</v>
      </c>
    </row>
    <row r="14" spans="1:2">
      <c r="A14" s="26" t="s">
        <v>141</v>
      </c>
      <c r="B14" s="27" t="s">
        <v>158</v>
      </c>
    </row>
    <row r="15" spans="1:2">
      <c r="A15" s="25" t="s">
        <v>48</v>
      </c>
      <c r="B15" s="28" t="s">
        <v>159</v>
      </c>
    </row>
    <row r="16" spans="1:2">
      <c r="A16" s="25" t="s">
        <v>34</v>
      </c>
      <c r="B16" s="28" t="s">
        <v>162</v>
      </c>
    </row>
    <row r="17" spans="1:2">
      <c r="A17" s="26" t="s">
        <v>128</v>
      </c>
      <c r="B17" s="27" t="s">
        <v>163</v>
      </c>
    </row>
    <row r="18" spans="1:2">
      <c r="A18" s="26" t="s">
        <v>135</v>
      </c>
      <c r="B18" s="27" t="s">
        <v>165</v>
      </c>
    </row>
    <row r="19" spans="1:2">
      <c r="A19" s="25" t="s">
        <v>127</v>
      </c>
      <c r="B19" s="28" t="s">
        <v>164</v>
      </c>
    </row>
  </sheetData>
  <conditionalFormatting sqref="A2:A19">
    <cfRule type="cellIs" dxfId="7" priority="1" operator="equal">
      <formula>IF(A2="", TRUE, FALSE)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D52D1-1B90-43A7-96C4-75AF4E9C7CB3}">
  <dimension ref="A1:B30"/>
  <sheetViews>
    <sheetView workbookViewId="0">
      <selection activeCell="B22" sqref="B22"/>
    </sheetView>
  </sheetViews>
  <sheetFormatPr defaultRowHeight="15"/>
  <cols>
    <col min="1" max="1" width="21.5703125" bestFit="1" customWidth="1"/>
    <col min="2" max="2" width="13.140625" bestFit="1" customWidth="1"/>
  </cols>
  <sheetData>
    <row r="1" spans="1:2">
      <c r="A1" s="12" t="s">
        <v>167</v>
      </c>
      <c r="B1" s="12" t="s">
        <v>140</v>
      </c>
    </row>
    <row r="2" spans="1:2">
      <c r="A2" s="14" t="s">
        <v>129</v>
      </c>
      <c r="B2" s="17" t="s">
        <v>147</v>
      </c>
    </row>
    <row r="3" spans="1:2">
      <c r="A3" s="14" t="s">
        <v>104</v>
      </c>
      <c r="B3" s="17" t="s">
        <v>149</v>
      </c>
    </row>
    <row r="4" spans="1:2">
      <c r="A4" s="16" t="s">
        <v>146</v>
      </c>
      <c r="B4" s="17" t="s">
        <v>166</v>
      </c>
    </row>
    <row r="5" spans="1:2">
      <c r="A5" s="14" t="s">
        <v>130</v>
      </c>
      <c r="B5" s="17" t="s">
        <v>150</v>
      </c>
    </row>
    <row r="6" spans="1:2">
      <c r="A6" s="14" t="s">
        <v>124</v>
      </c>
      <c r="B6" s="17" t="s">
        <v>151</v>
      </c>
    </row>
    <row r="7" spans="1:2">
      <c r="A7" s="15" t="s">
        <v>131</v>
      </c>
      <c r="B7" s="18" t="s">
        <v>152</v>
      </c>
    </row>
    <row r="8" spans="1:2">
      <c r="A8" s="14" t="s">
        <v>71</v>
      </c>
      <c r="B8" s="17" t="s">
        <v>153</v>
      </c>
    </row>
    <row r="9" spans="1:2">
      <c r="A9" s="15" t="s">
        <v>101</v>
      </c>
      <c r="B9" s="18" t="s">
        <v>154</v>
      </c>
    </row>
    <row r="10" spans="1:2">
      <c r="A10" s="14" t="s">
        <v>123</v>
      </c>
      <c r="B10" s="17" t="s">
        <v>155</v>
      </c>
    </row>
    <row r="11" spans="1:2">
      <c r="A11" s="15" t="s">
        <v>53</v>
      </c>
      <c r="B11" s="18" t="s">
        <v>156</v>
      </c>
    </row>
    <row r="12" spans="1:2">
      <c r="A12" s="14" t="s">
        <v>132</v>
      </c>
      <c r="B12" s="17" t="s">
        <v>150</v>
      </c>
    </row>
    <row r="13" spans="1:2">
      <c r="A13" s="15" t="s">
        <v>63</v>
      </c>
      <c r="B13" s="18" t="s">
        <v>157</v>
      </c>
    </row>
    <row r="14" spans="1:2">
      <c r="A14" s="14" t="s">
        <v>141</v>
      </c>
      <c r="B14" s="17" t="s">
        <v>158</v>
      </c>
    </row>
    <row r="15" spans="1:2">
      <c r="A15" s="15" t="s">
        <v>48</v>
      </c>
      <c r="B15" s="18" t="s">
        <v>159</v>
      </c>
    </row>
    <row r="16" spans="1:2">
      <c r="A16" s="14" t="s">
        <v>125</v>
      </c>
      <c r="B16" s="17" t="s">
        <v>160</v>
      </c>
    </row>
    <row r="17" spans="1:2">
      <c r="A17" s="14" t="s">
        <v>126</v>
      </c>
      <c r="B17" s="17" t="s">
        <v>161</v>
      </c>
    </row>
    <row r="18" spans="1:2">
      <c r="A18" s="14" t="s">
        <v>144</v>
      </c>
      <c r="B18" s="17" t="s">
        <v>148</v>
      </c>
    </row>
    <row r="19" spans="1:2">
      <c r="A19" s="15" t="s">
        <v>34</v>
      </c>
      <c r="B19" s="18" t="s">
        <v>162</v>
      </c>
    </row>
    <row r="20" spans="1:2">
      <c r="A20" s="14" t="s">
        <v>128</v>
      </c>
      <c r="B20" s="17" t="s">
        <v>163</v>
      </c>
    </row>
    <row r="21" spans="1:2">
      <c r="A21" s="14" t="s">
        <v>135</v>
      </c>
      <c r="B21" s="17" t="s">
        <v>165</v>
      </c>
    </row>
    <row r="22" spans="1:2">
      <c r="A22" s="21" t="s">
        <v>127</v>
      </c>
      <c r="B22" s="22" t="s">
        <v>164</v>
      </c>
    </row>
    <row r="23" spans="1:2">
      <c r="A23" s="14"/>
      <c r="B23" s="17"/>
    </row>
    <row r="24" spans="1:2">
      <c r="A24" s="14"/>
      <c r="B24" s="17"/>
    </row>
    <row r="25" spans="1:2">
      <c r="A25" s="14"/>
      <c r="B25" s="17"/>
    </row>
    <row r="26" spans="1:2">
      <c r="A26" s="15"/>
      <c r="B26" s="18"/>
    </row>
    <row r="27" spans="1:2">
      <c r="A27" s="14"/>
      <c r="B27" s="17"/>
    </row>
    <row r="28" spans="1:2">
      <c r="A28" s="14"/>
      <c r="B28" s="17"/>
    </row>
    <row r="29" spans="1:2">
      <c r="A29" s="14"/>
      <c r="B29" s="17"/>
    </row>
    <row r="30" spans="1:2">
      <c r="A30" s="19"/>
      <c r="B30" s="20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7"/>
  <sheetViews>
    <sheetView workbookViewId="0">
      <selection activeCell="E1" sqref="E1"/>
    </sheetView>
  </sheetViews>
  <sheetFormatPr defaultColWidth="9.140625" defaultRowHeight="15"/>
  <cols>
    <col min="1" max="1" width="4.7109375" customWidth="1"/>
    <col min="2" max="2" width="20.7109375" customWidth="1"/>
    <col min="3" max="3" width="7.42578125" customWidth="1"/>
    <col min="4" max="5" width="23.140625" customWidth="1"/>
    <col min="6" max="6" width="15.42578125" customWidth="1"/>
    <col min="7" max="7" width="20.140625" customWidth="1"/>
    <col min="8" max="8" width="20.28515625" customWidth="1"/>
    <col min="9" max="9" width="26.7109375" customWidth="1"/>
    <col min="10" max="10" width="15.42578125" customWidth="1"/>
    <col min="11" max="11" width="11.28515625" customWidth="1"/>
    <col min="12" max="12" width="5.85546875" customWidth="1"/>
    <col min="13" max="13" width="12.28515625" customWidth="1"/>
  </cols>
  <sheetData>
    <row r="1" spans="1:13">
      <c r="A1" s="49" t="s">
        <v>0</v>
      </c>
      <c r="B1" s="49"/>
      <c r="C1" s="49"/>
      <c r="D1" s="49"/>
      <c r="E1" s="1"/>
      <c r="F1" s="1"/>
      <c r="G1" s="1"/>
      <c r="H1" s="1"/>
      <c r="I1" s="1"/>
      <c r="L1" t="s">
        <v>1</v>
      </c>
    </row>
    <row r="2" spans="1:13">
      <c r="A2" s="49" t="s">
        <v>2</v>
      </c>
      <c r="B2" s="49"/>
      <c r="C2" s="49"/>
      <c r="D2" s="49"/>
      <c r="E2" s="1"/>
      <c r="F2" s="1"/>
      <c r="G2" s="1"/>
      <c r="H2" s="1"/>
      <c r="I2" s="1"/>
      <c r="L2" t="s">
        <v>3</v>
      </c>
      <c r="M2" t="s">
        <v>4</v>
      </c>
    </row>
    <row r="3" spans="1:13">
      <c r="L3" t="s">
        <v>5</v>
      </c>
      <c r="M3" t="s">
        <v>6</v>
      </c>
    </row>
    <row r="4" spans="1:13">
      <c r="A4" s="2"/>
      <c r="B4" s="2" t="s">
        <v>7</v>
      </c>
      <c r="C4" s="2" t="s">
        <v>8</v>
      </c>
      <c r="D4" s="2" t="s">
        <v>9</v>
      </c>
      <c r="E4" s="2"/>
      <c r="F4" s="2" t="s">
        <v>10</v>
      </c>
      <c r="G4" s="2" t="s">
        <v>11</v>
      </c>
      <c r="H4" s="1" t="s">
        <v>12</v>
      </c>
      <c r="I4" s="1"/>
      <c r="J4" s="2" t="s">
        <v>10</v>
      </c>
      <c r="L4" t="s">
        <v>13</v>
      </c>
      <c r="M4" t="s">
        <v>14</v>
      </c>
    </row>
    <row r="5" spans="1:13">
      <c r="A5" s="6">
        <v>1</v>
      </c>
      <c r="B5" s="9">
        <v>45716</v>
      </c>
      <c r="C5" s="6" t="s">
        <v>15</v>
      </c>
      <c r="D5" s="6" t="s">
        <v>16</v>
      </c>
      <c r="E5" s="8" t="s">
        <v>17</v>
      </c>
      <c r="F5" t="s">
        <v>18</v>
      </c>
      <c r="G5" s="6" t="s">
        <v>19</v>
      </c>
      <c r="H5" s="5" t="s">
        <v>18</v>
      </c>
      <c r="I5" s="6" t="s">
        <v>19</v>
      </c>
      <c r="J5" t="s">
        <v>18</v>
      </c>
      <c r="L5" t="s">
        <v>20</v>
      </c>
      <c r="M5" t="s">
        <v>21</v>
      </c>
    </row>
    <row r="6" spans="1:13">
      <c r="A6" s="3">
        <f t="shared" ref="A6:A33" si="0">A5+1</f>
        <v>2</v>
      </c>
      <c r="B6" s="4">
        <v>45717</v>
      </c>
      <c r="D6" s="3" t="s">
        <v>22</v>
      </c>
      <c r="E6" t="s">
        <v>23</v>
      </c>
      <c r="F6" t="s">
        <v>18</v>
      </c>
      <c r="G6" s="3" t="s">
        <v>24</v>
      </c>
      <c r="H6" s="5" t="s">
        <v>18</v>
      </c>
      <c r="I6" s="3" t="s">
        <v>24</v>
      </c>
      <c r="J6" t="s">
        <v>18</v>
      </c>
      <c r="L6" t="s">
        <v>25</v>
      </c>
      <c r="M6" t="s">
        <v>26</v>
      </c>
    </row>
    <row r="7" spans="1:13">
      <c r="A7" s="6">
        <f t="shared" si="0"/>
        <v>3</v>
      </c>
      <c r="B7" s="9">
        <v>45718</v>
      </c>
      <c r="C7" s="3" t="s">
        <v>15</v>
      </c>
      <c r="D7" s="6" t="s">
        <v>27</v>
      </c>
      <c r="E7" t="s">
        <v>28</v>
      </c>
      <c r="F7" t="s">
        <v>18</v>
      </c>
      <c r="G7" s="3" t="s">
        <v>29</v>
      </c>
      <c r="H7" s="8" t="s">
        <v>18</v>
      </c>
      <c r="I7" s="3" t="s">
        <v>29</v>
      </c>
      <c r="J7" t="s">
        <v>18</v>
      </c>
      <c r="L7" t="s">
        <v>30</v>
      </c>
      <c r="M7" t="s">
        <v>31</v>
      </c>
    </row>
    <row r="8" spans="1:13">
      <c r="A8" s="3">
        <f t="shared" si="0"/>
        <v>4</v>
      </c>
      <c r="B8" s="4">
        <v>45719</v>
      </c>
      <c r="C8" s="3"/>
      <c r="D8" s="3" t="s">
        <v>22</v>
      </c>
      <c r="E8" t="s">
        <v>23</v>
      </c>
      <c r="G8" s="7" t="s">
        <v>32</v>
      </c>
      <c r="H8" s="8" t="s">
        <v>18</v>
      </c>
      <c r="I8" s="3" t="s">
        <v>33</v>
      </c>
    </row>
    <row r="9" spans="1:13">
      <c r="A9" s="6">
        <f t="shared" si="0"/>
        <v>5</v>
      </c>
      <c r="B9" s="9">
        <v>45720</v>
      </c>
      <c r="C9" s="6" t="s">
        <v>15</v>
      </c>
      <c r="D9" s="6" t="s">
        <v>34</v>
      </c>
      <c r="E9" t="s">
        <v>35</v>
      </c>
      <c r="F9" t="s">
        <v>18</v>
      </c>
      <c r="G9" s="3" t="s">
        <v>33</v>
      </c>
      <c r="H9" s="8" t="s">
        <v>36</v>
      </c>
      <c r="I9" s="3" t="s">
        <v>37</v>
      </c>
      <c r="J9" t="s">
        <v>18</v>
      </c>
    </row>
    <row r="10" spans="1:13">
      <c r="A10" s="3">
        <f t="shared" si="0"/>
        <v>6</v>
      </c>
      <c r="B10" s="4">
        <v>45721</v>
      </c>
      <c r="C10" s="3"/>
      <c r="D10" s="3" t="s">
        <v>31</v>
      </c>
      <c r="E10" t="s">
        <v>38</v>
      </c>
      <c r="G10" s="3" t="s">
        <v>37</v>
      </c>
      <c r="H10" s="5" t="s">
        <v>18</v>
      </c>
      <c r="I10" s="3" t="s">
        <v>30</v>
      </c>
    </row>
    <row r="11" spans="1:13">
      <c r="A11" s="6">
        <f t="shared" si="0"/>
        <v>7</v>
      </c>
      <c r="B11" s="9">
        <v>45722</v>
      </c>
      <c r="C11" s="6" t="s">
        <v>15</v>
      </c>
      <c r="D11" s="6" t="s">
        <v>39</v>
      </c>
      <c r="E11" t="s">
        <v>40</v>
      </c>
      <c r="F11" t="s">
        <v>18</v>
      </c>
      <c r="G11" s="6" t="s">
        <v>41</v>
      </c>
      <c r="H11" s="8" t="s">
        <v>36</v>
      </c>
      <c r="I11" s="3" t="s">
        <v>42</v>
      </c>
      <c r="J11" t="s">
        <v>18</v>
      </c>
    </row>
    <row r="12" spans="1:13">
      <c r="A12" s="3">
        <f t="shared" si="0"/>
        <v>8</v>
      </c>
      <c r="B12" s="4">
        <v>45723</v>
      </c>
      <c r="C12" s="3"/>
      <c r="D12" s="3" t="s">
        <v>4</v>
      </c>
      <c r="E12" t="s">
        <v>38</v>
      </c>
      <c r="G12" s="3" t="s">
        <v>42</v>
      </c>
      <c r="H12" s="5" t="s">
        <v>18</v>
      </c>
      <c r="I12" s="3" t="s">
        <v>43</v>
      </c>
    </row>
    <row r="13" spans="1:13">
      <c r="A13" s="6">
        <f t="shared" si="0"/>
        <v>9</v>
      </c>
      <c r="B13" s="9">
        <v>45724</v>
      </c>
      <c r="C13" s="6" t="s">
        <v>15</v>
      </c>
      <c r="D13" s="6" t="s">
        <v>44</v>
      </c>
      <c r="E13" t="s">
        <v>45</v>
      </c>
      <c r="F13" t="s">
        <v>36</v>
      </c>
      <c r="G13" s="3" t="s">
        <v>43</v>
      </c>
      <c r="H13" s="8" t="s">
        <v>18</v>
      </c>
      <c r="I13" s="6" t="s">
        <v>46</v>
      </c>
      <c r="J13" t="s">
        <v>36</v>
      </c>
    </row>
    <row r="14" spans="1:13">
      <c r="A14" s="3">
        <f t="shared" si="0"/>
        <v>10</v>
      </c>
      <c r="B14" s="4">
        <v>45725</v>
      </c>
      <c r="C14" s="3"/>
      <c r="D14" s="3" t="s">
        <v>47</v>
      </c>
      <c r="E14" t="s">
        <v>38</v>
      </c>
      <c r="G14" s="6" t="s">
        <v>46</v>
      </c>
      <c r="H14" s="5" t="s">
        <v>18</v>
      </c>
      <c r="I14" s="6" t="s">
        <v>41</v>
      </c>
    </row>
    <row r="15" spans="1:13">
      <c r="A15" s="6">
        <f t="shared" si="0"/>
        <v>11</v>
      </c>
      <c r="B15" s="9">
        <v>45726</v>
      </c>
      <c r="C15" s="3" t="s">
        <v>15</v>
      </c>
      <c r="D15" s="3" t="s">
        <v>48</v>
      </c>
      <c r="E15" t="s">
        <v>49</v>
      </c>
      <c r="F15" t="s">
        <v>18</v>
      </c>
      <c r="G15" s="3" t="s">
        <v>30</v>
      </c>
      <c r="H15" s="8" t="s">
        <v>18</v>
      </c>
      <c r="I15" s="3" t="s">
        <v>50</v>
      </c>
      <c r="J15" t="s">
        <v>18</v>
      </c>
      <c r="K15" s="3" t="s">
        <v>48</v>
      </c>
    </row>
    <row r="16" spans="1:13">
      <c r="A16" s="3">
        <f t="shared" si="0"/>
        <v>12</v>
      </c>
      <c r="B16" s="4">
        <v>45727</v>
      </c>
      <c r="C16" s="3"/>
      <c r="D16" s="3" t="s">
        <v>26</v>
      </c>
      <c r="E16" t="s">
        <v>38</v>
      </c>
      <c r="G16" s="3" t="s">
        <v>51</v>
      </c>
      <c r="H16" s="5" t="s">
        <v>18</v>
      </c>
      <c r="I16" s="6" t="s">
        <v>52</v>
      </c>
    </row>
    <row r="17" spans="1:11">
      <c r="A17" s="6">
        <f t="shared" si="0"/>
        <v>13</v>
      </c>
      <c r="B17" s="9">
        <v>45728</v>
      </c>
      <c r="C17" s="6" t="s">
        <v>15</v>
      </c>
      <c r="D17" s="3" t="s">
        <v>53</v>
      </c>
      <c r="E17" t="s">
        <v>38</v>
      </c>
      <c r="F17" t="s">
        <v>18</v>
      </c>
      <c r="G17" s="6" t="s">
        <v>52</v>
      </c>
      <c r="H17" s="8" t="s">
        <v>18</v>
      </c>
      <c r="I17" s="6" t="s">
        <v>54</v>
      </c>
      <c r="J17" t="s">
        <v>18</v>
      </c>
    </row>
    <row r="18" spans="1:11">
      <c r="A18" s="3">
        <f t="shared" si="0"/>
        <v>14</v>
      </c>
      <c r="B18" s="4">
        <v>45729</v>
      </c>
      <c r="C18" s="3"/>
      <c r="D18" s="3" t="s">
        <v>21</v>
      </c>
      <c r="E18" t="s">
        <v>38</v>
      </c>
      <c r="G18" s="7" t="s">
        <v>32</v>
      </c>
      <c r="H18" s="8" t="s">
        <v>18</v>
      </c>
      <c r="I18" s="6" t="s">
        <v>55</v>
      </c>
    </row>
    <row r="19" spans="1:11">
      <c r="A19" s="6">
        <f t="shared" si="0"/>
        <v>15</v>
      </c>
      <c r="B19" s="9">
        <v>45730</v>
      </c>
      <c r="C19" s="3" t="s">
        <v>15</v>
      </c>
      <c r="D19" s="3" t="s">
        <v>48</v>
      </c>
      <c r="E19" t="s">
        <v>49</v>
      </c>
      <c r="F19" t="s">
        <v>18</v>
      </c>
      <c r="G19" s="3" t="s">
        <v>30</v>
      </c>
      <c r="H19" s="8" t="s">
        <v>18</v>
      </c>
      <c r="I19" s="6" t="s">
        <v>56</v>
      </c>
      <c r="J19" t="s">
        <v>18</v>
      </c>
    </row>
    <row r="20" spans="1:11">
      <c r="A20" s="3">
        <f t="shared" si="0"/>
        <v>16</v>
      </c>
      <c r="B20" s="4">
        <v>45731</v>
      </c>
      <c r="C20" s="3"/>
      <c r="D20" s="3" t="s">
        <v>14</v>
      </c>
      <c r="E20" t="s">
        <v>38</v>
      </c>
      <c r="G20" s="6" t="s">
        <v>55</v>
      </c>
      <c r="H20" s="5" t="s">
        <v>18</v>
      </c>
      <c r="I20" s="6" t="s">
        <v>51</v>
      </c>
    </row>
    <row r="21" spans="1:11">
      <c r="A21" s="6">
        <f t="shared" si="0"/>
        <v>17</v>
      </c>
      <c r="B21" s="9">
        <v>45732</v>
      </c>
      <c r="C21" s="3"/>
      <c r="D21" s="3" t="s">
        <v>22</v>
      </c>
      <c r="E21" t="s">
        <v>23</v>
      </c>
      <c r="F21" t="s">
        <v>18</v>
      </c>
      <c r="G21" s="6" t="s">
        <v>56</v>
      </c>
      <c r="H21" s="8" t="s">
        <v>18</v>
      </c>
      <c r="I21" s="6" t="s">
        <v>57</v>
      </c>
      <c r="J21" t="s">
        <v>18</v>
      </c>
      <c r="K21" t="s">
        <v>58</v>
      </c>
    </row>
    <row r="22" spans="1:11">
      <c r="A22" s="3">
        <f t="shared" si="0"/>
        <v>18</v>
      </c>
      <c r="B22" s="4">
        <v>45733</v>
      </c>
      <c r="C22" s="3"/>
      <c r="D22" s="3" t="s">
        <v>59</v>
      </c>
      <c r="E22" s="11" t="s">
        <v>60</v>
      </c>
      <c r="G22" s="6" t="s">
        <v>51</v>
      </c>
      <c r="H22" s="5" t="s">
        <v>18</v>
      </c>
      <c r="I22" s="5"/>
    </row>
    <row r="23" spans="1:11">
      <c r="A23" s="6">
        <f t="shared" si="0"/>
        <v>19</v>
      </c>
      <c r="B23" s="9">
        <v>45734</v>
      </c>
      <c r="C23" s="6" t="s">
        <v>15</v>
      </c>
      <c r="D23" s="6" t="s">
        <v>44</v>
      </c>
      <c r="E23" t="s">
        <v>45</v>
      </c>
      <c r="F23" t="s">
        <v>36</v>
      </c>
      <c r="G23" s="6" t="s">
        <v>57</v>
      </c>
      <c r="H23" s="5" t="s">
        <v>18</v>
      </c>
      <c r="I23" s="8"/>
      <c r="J23" t="s">
        <v>36</v>
      </c>
    </row>
    <row r="24" spans="1:11">
      <c r="A24" s="3">
        <f t="shared" si="0"/>
        <v>20</v>
      </c>
      <c r="B24" s="4">
        <v>45735</v>
      </c>
      <c r="C24" s="3"/>
      <c r="D24" s="3" t="s">
        <v>61</v>
      </c>
      <c r="E24" t="s">
        <v>62</v>
      </c>
      <c r="G24" s="6" t="s">
        <v>19</v>
      </c>
      <c r="H24" s="5" t="s">
        <v>18</v>
      </c>
      <c r="I24" s="5"/>
    </row>
    <row r="25" spans="1:11">
      <c r="A25" s="6">
        <f t="shared" si="0"/>
        <v>21</v>
      </c>
      <c r="B25" s="9">
        <v>45736</v>
      </c>
      <c r="C25" s="6" t="s">
        <v>15</v>
      </c>
      <c r="D25" s="6" t="s">
        <v>63</v>
      </c>
      <c r="E25" t="s">
        <v>64</v>
      </c>
      <c r="F25" t="s">
        <v>18</v>
      </c>
      <c r="G25" s="3" t="s">
        <v>24</v>
      </c>
      <c r="H25" s="8" t="s">
        <v>18</v>
      </c>
      <c r="I25" s="8"/>
      <c r="J25" t="s">
        <v>18</v>
      </c>
    </row>
    <row r="26" spans="1:11">
      <c r="A26" s="3">
        <f t="shared" si="0"/>
        <v>22</v>
      </c>
      <c r="B26" s="4">
        <v>45737</v>
      </c>
      <c r="C26" s="3"/>
      <c r="D26" s="3" t="s">
        <v>65</v>
      </c>
      <c r="E26" t="s">
        <v>66</v>
      </c>
      <c r="G26" s="3" t="s">
        <v>29</v>
      </c>
      <c r="H26" s="8" t="s">
        <v>67</v>
      </c>
      <c r="I26" s="5" t="s">
        <v>68</v>
      </c>
    </row>
    <row r="27" spans="1:11">
      <c r="A27" s="6">
        <f t="shared" si="0"/>
        <v>23</v>
      </c>
      <c r="B27" s="9">
        <v>45738</v>
      </c>
      <c r="C27" s="6" t="s">
        <v>15</v>
      </c>
      <c r="D27" s="6" t="s">
        <v>34</v>
      </c>
      <c r="E27" t="s">
        <v>35</v>
      </c>
      <c r="F27" t="s">
        <v>18</v>
      </c>
      <c r="G27" s="3" t="s">
        <v>33</v>
      </c>
      <c r="H27" s="8" t="s">
        <v>36</v>
      </c>
      <c r="I27" s="8"/>
      <c r="J27" t="s">
        <v>18</v>
      </c>
    </row>
    <row r="28" spans="1:11">
      <c r="A28" s="3">
        <f t="shared" si="0"/>
        <v>24</v>
      </c>
      <c r="B28" s="4">
        <v>45739</v>
      </c>
      <c r="C28" s="3"/>
      <c r="D28" s="3" t="s">
        <v>69</v>
      </c>
      <c r="E28" t="s">
        <v>70</v>
      </c>
      <c r="G28" s="3" t="s">
        <v>37</v>
      </c>
      <c r="H28" s="5" t="s">
        <v>18</v>
      </c>
      <c r="I28" s="5"/>
    </row>
    <row r="29" spans="1:11">
      <c r="A29" s="6">
        <f t="shared" si="0"/>
        <v>25</v>
      </c>
      <c r="B29" s="9">
        <v>45740</v>
      </c>
      <c r="C29" s="6" t="s">
        <v>15</v>
      </c>
      <c r="D29" s="6" t="s">
        <v>71</v>
      </c>
      <c r="E29" t="s">
        <v>72</v>
      </c>
      <c r="F29" t="s">
        <v>18</v>
      </c>
      <c r="G29" s="7" t="s">
        <v>32</v>
      </c>
      <c r="H29" s="8" t="s">
        <v>18</v>
      </c>
      <c r="I29" s="8"/>
      <c r="J29" t="s">
        <v>18</v>
      </c>
      <c r="K29" t="s">
        <v>73</v>
      </c>
    </row>
    <row r="30" spans="1:11">
      <c r="A30" s="3">
        <f t="shared" si="0"/>
        <v>26</v>
      </c>
      <c r="B30" s="4">
        <v>45741</v>
      </c>
      <c r="C30" s="3"/>
      <c r="D30" s="3" t="s">
        <v>74</v>
      </c>
      <c r="E30" t="s">
        <v>75</v>
      </c>
      <c r="G30" s="6" t="s">
        <v>30</v>
      </c>
      <c r="H30" s="8" t="s">
        <v>18</v>
      </c>
      <c r="I30" s="5"/>
    </row>
    <row r="31" spans="1:11">
      <c r="A31" s="6">
        <f t="shared" si="0"/>
        <v>27</v>
      </c>
      <c r="B31" s="9">
        <v>45742</v>
      </c>
      <c r="C31" s="3" t="s">
        <v>15</v>
      </c>
      <c r="D31" s="6" t="s">
        <v>76</v>
      </c>
      <c r="E31" t="s">
        <v>77</v>
      </c>
      <c r="F31" t="s">
        <v>18</v>
      </c>
      <c r="G31" s="3" t="s">
        <v>42</v>
      </c>
      <c r="H31" s="8" t="s">
        <v>18</v>
      </c>
      <c r="I31" s="8"/>
      <c r="J31" t="s">
        <v>18</v>
      </c>
    </row>
    <row r="32" spans="1:11">
      <c r="A32" s="3">
        <f t="shared" si="0"/>
        <v>28</v>
      </c>
      <c r="B32" s="4">
        <v>45743</v>
      </c>
      <c r="C32" s="3"/>
      <c r="D32" s="3" t="s">
        <v>78</v>
      </c>
      <c r="E32" t="s">
        <v>79</v>
      </c>
      <c r="G32" s="3" t="s">
        <v>43</v>
      </c>
      <c r="H32" s="5" t="s">
        <v>18</v>
      </c>
      <c r="I32" s="5"/>
    </row>
    <row r="33" spans="1:10">
      <c r="A33" s="6">
        <f t="shared" si="0"/>
        <v>29</v>
      </c>
      <c r="B33" s="9">
        <v>45744</v>
      </c>
      <c r="C33" s="6" t="s">
        <v>15</v>
      </c>
      <c r="D33" s="6" t="s">
        <v>16</v>
      </c>
      <c r="E33" s="8" t="s">
        <v>17</v>
      </c>
      <c r="F33" t="s">
        <v>18</v>
      </c>
      <c r="G33" s="6" t="s">
        <v>46</v>
      </c>
      <c r="H33" s="8" t="s">
        <v>18</v>
      </c>
      <c r="I33" s="8"/>
      <c r="J33" t="s">
        <v>18</v>
      </c>
    </row>
    <row r="34" spans="1:10">
      <c r="A34" s="3">
        <v>30</v>
      </c>
      <c r="B34" s="4">
        <v>45745</v>
      </c>
      <c r="C34" s="3"/>
      <c r="D34" s="3" t="s">
        <v>53</v>
      </c>
      <c r="E34" t="s">
        <v>38</v>
      </c>
      <c r="G34" s="6" t="s">
        <v>41</v>
      </c>
      <c r="H34" s="5" t="s">
        <v>36</v>
      </c>
      <c r="I34" s="5"/>
    </row>
    <row r="36" spans="1:10">
      <c r="A36" t="s">
        <v>80</v>
      </c>
    </row>
    <row r="37" spans="1:10">
      <c r="A37" s="10" t="s">
        <v>81</v>
      </c>
    </row>
  </sheetData>
  <mergeCells count="2">
    <mergeCell ref="A1:D1"/>
    <mergeCell ref="A2:D2"/>
  </mergeCells>
  <conditionalFormatting sqref="C5:C34">
    <cfRule type="cellIs" dxfId="0" priority="1" operator="greaterThan">
      <formula>0</formula>
    </cfRule>
  </conditionalFormatting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1"/>
  <sheetViews>
    <sheetView workbookViewId="0">
      <selection activeCell="F1" sqref="F1"/>
    </sheetView>
  </sheetViews>
  <sheetFormatPr defaultColWidth="8.85546875" defaultRowHeight="15"/>
  <cols>
    <col min="1" max="1" width="13.140625" customWidth="1"/>
    <col min="2" max="2" width="20.7109375" customWidth="1"/>
    <col min="3" max="3" width="20.140625" customWidth="1"/>
    <col min="4" max="4" width="3.42578125" customWidth="1"/>
    <col min="5" max="5" width="13.7109375" customWidth="1"/>
    <col min="6" max="6" width="17.7109375" customWidth="1"/>
    <col min="7" max="7" width="15.7109375" customWidth="1"/>
    <col min="8" max="8" width="20.7109375" customWidth="1"/>
    <col min="9" max="9" width="14.28515625" customWidth="1"/>
    <col min="10" max="10" width="20.140625" customWidth="1"/>
    <col min="12" max="12" width="20.140625" customWidth="1"/>
  </cols>
  <sheetData>
    <row r="1" spans="1:12">
      <c r="A1" s="2" t="s">
        <v>93</v>
      </c>
      <c r="B1" s="2" t="s">
        <v>7</v>
      </c>
      <c r="C1" s="2" t="s">
        <v>11</v>
      </c>
      <c r="E1" t="s">
        <v>94</v>
      </c>
      <c r="F1" t="s">
        <v>95</v>
      </c>
      <c r="G1" t="s">
        <v>96</v>
      </c>
      <c r="H1" t="s">
        <v>97</v>
      </c>
      <c r="I1" t="s">
        <v>98</v>
      </c>
      <c r="J1" t="s">
        <v>99</v>
      </c>
      <c r="L1" s="6" t="s">
        <v>19</v>
      </c>
    </row>
    <row r="2" spans="1:12">
      <c r="A2" s="6">
        <v>1</v>
      </c>
      <c r="B2" s="9">
        <v>45716</v>
      </c>
      <c r="C2" s="6" t="s">
        <v>19</v>
      </c>
      <c r="E2" s="6" t="s">
        <v>100</v>
      </c>
      <c r="F2" t="s">
        <v>38</v>
      </c>
      <c r="G2" s="6">
        <v>1</v>
      </c>
      <c r="H2" s="9">
        <v>45716</v>
      </c>
      <c r="I2" s="6">
        <v>20</v>
      </c>
      <c r="J2" s="9">
        <v>45735</v>
      </c>
      <c r="L2" s="6" t="s">
        <v>19</v>
      </c>
    </row>
    <row r="3" spans="1:12">
      <c r="A3" s="3">
        <f t="shared" ref="A3:A30" si="0">A2+1</f>
        <v>2</v>
      </c>
      <c r="B3" s="4">
        <v>45717</v>
      </c>
      <c r="C3" s="3" t="s">
        <v>24</v>
      </c>
      <c r="E3" s="3" t="s">
        <v>101</v>
      </c>
      <c r="F3" t="s">
        <v>17</v>
      </c>
      <c r="G3" s="3">
        <v>2</v>
      </c>
      <c r="H3" s="4">
        <v>45717</v>
      </c>
      <c r="I3" s="6">
        <v>21</v>
      </c>
      <c r="J3" s="9">
        <v>45736</v>
      </c>
      <c r="L3" s="3" t="s">
        <v>24</v>
      </c>
    </row>
    <row r="4" spans="1:12">
      <c r="A4" s="6">
        <f t="shared" si="0"/>
        <v>3</v>
      </c>
      <c r="B4" s="9">
        <v>45718</v>
      </c>
      <c r="C4" s="3" t="s">
        <v>29</v>
      </c>
      <c r="E4" s="3" t="s">
        <v>102</v>
      </c>
      <c r="F4" t="s">
        <v>84</v>
      </c>
      <c r="G4" s="6">
        <v>3</v>
      </c>
      <c r="H4" s="9">
        <v>45718</v>
      </c>
      <c r="I4" s="6">
        <v>22</v>
      </c>
      <c r="J4" s="9">
        <v>45737</v>
      </c>
      <c r="L4" s="3" t="s">
        <v>24</v>
      </c>
    </row>
    <row r="5" spans="1:12">
      <c r="A5" s="3">
        <f t="shared" si="0"/>
        <v>4</v>
      </c>
      <c r="B5" s="4">
        <v>45719</v>
      </c>
      <c r="C5" s="7" t="s">
        <v>32</v>
      </c>
      <c r="E5" s="3" t="s">
        <v>103</v>
      </c>
      <c r="F5" t="s">
        <v>86</v>
      </c>
      <c r="G5" s="6">
        <v>5</v>
      </c>
      <c r="H5" s="9">
        <v>45720</v>
      </c>
      <c r="I5" s="6">
        <v>23</v>
      </c>
      <c r="J5" s="9">
        <v>45738</v>
      </c>
      <c r="L5" s="3" t="s">
        <v>29</v>
      </c>
    </row>
    <row r="6" spans="1:12">
      <c r="A6" s="6">
        <f t="shared" si="0"/>
        <v>5</v>
      </c>
      <c r="B6" s="9">
        <v>45720</v>
      </c>
      <c r="C6" s="3" t="s">
        <v>33</v>
      </c>
      <c r="E6" s="3" t="s">
        <v>104</v>
      </c>
      <c r="F6" t="s">
        <v>45</v>
      </c>
      <c r="G6" s="3">
        <v>6</v>
      </c>
      <c r="H6" s="4">
        <v>45721</v>
      </c>
      <c r="I6" s="6">
        <v>24</v>
      </c>
      <c r="J6" s="9">
        <v>45739</v>
      </c>
      <c r="L6" s="3" t="s">
        <v>29</v>
      </c>
    </row>
    <row r="7" spans="1:12">
      <c r="A7" s="3">
        <f t="shared" si="0"/>
        <v>6</v>
      </c>
      <c r="B7" s="4">
        <v>45721</v>
      </c>
      <c r="C7" s="3" t="s">
        <v>37</v>
      </c>
      <c r="E7" s="3" t="s">
        <v>30</v>
      </c>
      <c r="F7" t="s">
        <v>90</v>
      </c>
      <c r="G7" s="6">
        <v>11</v>
      </c>
      <c r="H7" s="9">
        <v>45726</v>
      </c>
      <c r="I7" s="6">
        <v>15</v>
      </c>
      <c r="J7" s="9">
        <v>45730</v>
      </c>
      <c r="L7" s="3" t="s">
        <v>33</v>
      </c>
    </row>
    <row r="8" spans="1:12">
      <c r="A8" s="6">
        <f t="shared" si="0"/>
        <v>7</v>
      </c>
      <c r="B8" s="9">
        <v>45722</v>
      </c>
      <c r="C8" s="6" t="s">
        <v>41</v>
      </c>
      <c r="E8" s="3" t="s">
        <v>105</v>
      </c>
      <c r="F8" t="s">
        <v>89</v>
      </c>
      <c r="G8" s="3">
        <v>8</v>
      </c>
      <c r="H8" s="4">
        <v>45723</v>
      </c>
      <c r="I8" s="6">
        <v>27</v>
      </c>
      <c r="J8" s="9">
        <v>45742</v>
      </c>
      <c r="L8" s="3" t="s">
        <v>33</v>
      </c>
    </row>
    <row r="9" spans="1:12">
      <c r="A9" s="3">
        <f t="shared" si="0"/>
        <v>8</v>
      </c>
      <c r="B9" s="4">
        <v>45723</v>
      </c>
      <c r="C9" s="3" t="s">
        <v>42</v>
      </c>
      <c r="E9" s="3" t="s">
        <v>58</v>
      </c>
      <c r="F9" t="s">
        <v>72</v>
      </c>
      <c r="G9" s="6">
        <v>9</v>
      </c>
      <c r="H9" s="9">
        <v>45724</v>
      </c>
      <c r="I9" s="6">
        <v>28</v>
      </c>
      <c r="J9" s="9">
        <v>45743</v>
      </c>
      <c r="L9" s="3" t="s">
        <v>37</v>
      </c>
    </row>
    <row r="10" spans="1:12">
      <c r="A10" s="6">
        <f t="shared" si="0"/>
        <v>9</v>
      </c>
      <c r="B10" s="9">
        <v>45724</v>
      </c>
      <c r="C10" s="3" t="s">
        <v>43</v>
      </c>
      <c r="E10" s="6" t="s">
        <v>106</v>
      </c>
      <c r="F10" t="s">
        <v>92</v>
      </c>
      <c r="G10" s="3">
        <v>10</v>
      </c>
      <c r="H10" s="4">
        <v>45725</v>
      </c>
      <c r="I10" s="6">
        <v>29</v>
      </c>
      <c r="J10" s="9">
        <v>45744</v>
      </c>
      <c r="L10" s="3" t="s">
        <v>37</v>
      </c>
    </row>
    <row r="11" spans="1:12">
      <c r="A11" s="3">
        <f t="shared" si="0"/>
        <v>10</v>
      </c>
      <c r="B11" s="4">
        <v>45725</v>
      </c>
      <c r="C11" s="6" t="s">
        <v>46</v>
      </c>
      <c r="E11" s="6" t="s">
        <v>107</v>
      </c>
      <c r="F11" t="s">
        <v>87</v>
      </c>
      <c r="G11" s="6">
        <v>7</v>
      </c>
      <c r="H11" s="9">
        <v>45722</v>
      </c>
      <c r="I11" s="6">
        <v>30</v>
      </c>
      <c r="J11" s="9">
        <v>45745</v>
      </c>
      <c r="L11" s="3" t="s">
        <v>30</v>
      </c>
    </row>
    <row r="12" spans="1:12">
      <c r="A12" s="6">
        <f t="shared" si="0"/>
        <v>11</v>
      </c>
      <c r="B12" s="9">
        <v>45726</v>
      </c>
      <c r="C12" s="3" t="s">
        <v>30</v>
      </c>
      <c r="E12" s="3" t="s">
        <v>108</v>
      </c>
      <c r="F12" t="s">
        <v>109</v>
      </c>
      <c r="G12" s="3">
        <v>12</v>
      </c>
      <c r="H12" s="4">
        <v>45727</v>
      </c>
      <c r="I12" s="6"/>
      <c r="J12" s="9"/>
      <c r="L12" s="3" t="s">
        <v>30</v>
      </c>
    </row>
    <row r="13" spans="1:12">
      <c r="A13" s="3">
        <f t="shared" si="0"/>
        <v>12</v>
      </c>
      <c r="B13" s="4">
        <v>45727</v>
      </c>
      <c r="C13" s="3" t="s">
        <v>50</v>
      </c>
      <c r="E13" s="6" t="s">
        <v>48</v>
      </c>
      <c r="F13" t="s">
        <v>49</v>
      </c>
      <c r="G13" s="6">
        <v>13</v>
      </c>
      <c r="H13" s="9">
        <v>45728</v>
      </c>
      <c r="I13" s="6"/>
      <c r="J13" s="9"/>
      <c r="L13" s="3" t="s">
        <v>42</v>
      </c>
    </row>
    <row r="14" spans="1:12">
      <c r="A14" s="6">
        <f t="shared" si="0"/>
        <v>13</v>
      </c>
      <c r="B14" s="9">
        <v>45728</v>
      </c>
      <c r="C14" s="6" t="s">
        <v>52</v>
      </c>
      <c r="E14" s="6" t="s">
        <v>110</v>
      </c>
      <c r="F14" t="s">
        <v>111</v>
      </c>
      <c r="G14" s="3">
        <v>26</v>
      </c>
      <c r="H14" s="4">
        <v>45741</v>
      </c>
      <c r="I14" s="6"/>
      <c r="J14" s="9"/>
      <c r="L14" s="3" t="s">
        <v>42</v>
      </c>
    </row>
    <row r="15" spans="1:12">
      <c r="A15" s="3">
        <f t="shared" si="0"/>
        <v>14</v>
      </c>
      <c r="B15" s="4">
        <v>45729</v>
      </c>
      <c r="C15" s="7" t="s">
        <v>32</v>
      </c>
      <c r="E15" s="6" t="s">
        <v>112</v>
      </c>
      <c r="F15" t="s">
        <v>35</v>
      </c>
      <c r="G15" s="3">
        <v>16</v>
      </c>
      <c r="H15" s="4">
        <v>45731</v>
      </c>
      <c r="I15" s="6"/>
      <c r="J15" s="9"/>
      <c r="L15" s="3" t="s">
        <v>43</v>
      </c>
    </row>
    <row r="16" spans="1:12">
      <c r="A16" s="6">
        <f t="shared" si="0"/>
        <v>15</v>
      </c>
      <c r="B16" s="9">
        <v>45730</v>
      </c>
      <c r="C16" s="3" t="s">
        <v>30</v>
      </c>
      <c r="E16" s="6" t="s">
        <v>113</v>
      </c>
      <c r="F16" t="s">
        <v>91</v>
      </c>
      <c r="G16" s="3">
        <v>17</v>
      </c>
      <c r="H16" s="4">
        <v>45732</v>
      </c>
      <c r="I16" s="6"/>
      <c r="J16" s="9"/>
      <c r="L16" s="3" t="s">
        <v>43</v>
      </c>
    </row>
    <row r="17" spans="1:12">
      <c r="A17" s="3">
        <f t="shared" si="0"/>
        <v>16</v>
      </c>
      <c r="B17" s="4">
        <v>45731</v>
      </c>
      <c r="C17" s="6" t="s">
        <v>55</v>
      </c>
      <c r="E17" s="6" t="s">
        <v>51</v>
      </c>
      <c r="F17" t="s">
        <v>23</v>
      </c>
      <c r="G17" s="3">
        <v>18</v>
      </c>
      <c r="H17" s="4">
        <v>45733</v>
      </c>
      <c r="I17" s="6"/>
      <c r="J17" s="9"/>
      <c r="L17" s="6" t="s">
        <v>46</v>
      </c>
    </row>
    <row r="18" spans="1:12">
      <c r="A18" s="6">
        <f t="shared" si="0"/>
        <v>17</v>
      </c>
      <c r="B18" s="9">
        <v>45732</v>
      </c>
      <c r="C18" s="6" t="s">
        <v>56</v>
      </c>
      <c r="E18" s="6"/>
      <c r="L18" s="6" t="s">
        <v>46</v>
      </c>
    </row>
    <row r="19" spans="1:12">
      <c r="A19" s="3">
        <f t="shared" si="0"/>
        <v>18</v>
      </c>
      <c r="B19" s="4">
        <v>45733</v>
      </c>
      <c r="C19" s="6" t="s">
        <v>51</v>
      </c>
      <c r="L19" s="6" t="s">
        <v>41</v>
      </c>
    </row>
    <row r="20" spans="1:12">
      <c r="A20" s="6">
        <f t="shared" si="0"/>
        <v>19</v>
      </c>
      <c r="B20" s="9">
        <v>45734</v>
      </c>
      <c r="C20" s="6" t="s">
        <v>57</v>
      </c>
      <c r="L20" s="6" t="s">
        <v>41</v>
      </c>
    </row>
    <row r="21" spans="1:12">
      <c r="A21" s="3">
        <f t="shared" si="0"/>
        <v>20</v>
      </c>
      <c r="B21" s="4">
        <v>45735</v>
      </c>
      <c r="C21" s="6" t="s">
        <v>19</v>
      </c>
      <c r="L21" s="3" t="s">
        <v>50</v>
      </c>
    </row>
    <row r="22" spans="1:12">
      <c r="A22" s="6">
        <f t="shared" si="0"/>
        <v>21</v>
      </c>
      <c r="B22" s="9">
        <v>45736</v>
      </c>
      <c r="C22" s="3" t="s">
        <v>24</v>
      </c>
      <c r="L22" s="6" t="s">
        <v>52</v>
      </c>
    </row>
    <row r="23" spans="1:12">
      <c r="A23" s="3">
        <f t="shared" si="0"/>
        <v>22</v>
      </c>
      <c r="B23" s="4">
        <v>45737</v>
      </c>
      <c r="C23" s="3" t="s">
        <v>29</v>
      </c>
      <c r="L23" s="6" t="s">
        <v>54</v>
      </c>
    </row>
    <row r="24" spans="1:12">
      <c r="A24" s="6">
        <f t="shared" si="0"/>
        <v>23</v>
      </c>
      <c r="B24" s="9">
        <v>45738</v>
      </c>
      <c r="C24" s="3" t="s">
        <v>33</v>
      </c>
      <c r="L24" s="6" t="s">
        <v>55</v>
      </c>
    </row>
    <row r="25" spans="1:12">
      <c r="A25" s="3">
        <f t="shared" si="0"/>
        <v>24</v>
      </c>
      <c r="B25" s="4">
        <v>45739</v>
      </c>
      <c r="C25" s="3" t="s">
        <v>37</v>
      </c>
      <c r="L25" s="6" t="s">
        <v>56</v>
      </c>
    </row>
    <row r="26" spans="1:12">
      <c r="A26" s="6">
        <f t="shared" si="0"/>
        <v>25</v>
      </c>
      <c r="B26" s="9">
        <v>45740</v>
      </c>
      <c r="C26" s="7" t="s">
        <v>32</v>
      </c>
      <c r="L26" s="6" t="s">
        <v>51</v>
      </c>
    </row>
    <row r="27" spans="1:12">
      <c r="A27" s="3">
        <f t="shared" si="0"/>
        <v>26</v>
      </c>
      <c r="B27" s="4">
        <v>45741</v>
      </c>
      <c r="C27" s="6" t="s">
        <v>54</v>
      </c>
      <c r="L27" s="7"/>
    </row>
    <row r="28" spans="1:12">
      <c r="A28" s="6">
        <f t="shared" si="0"/>
        <v>27</v>
      </c>
      <c r="B28" s="9">
        <v>45742</v>
      </c>
      <c r="C28" s="3" t="s">
        <v>42</v>
      </c>
      <c r="L28" s="7"/>
    </row>
    <row r="29" spans="1:12">
      <c r="A29" s="3">
        <f t="shared" si="0"/>
        <v>28</v>
      </c>
      <c r="B29" s="4">
        <v>45743</v>
      </c>
      <c r="C29" s="3" t="s">
        <v>43</v>
      </c>
      <c r="L29" s="6"/>
    </row>
    <row r="30" spans="1:12">
      <c r="A30" s="6">
        <f t="shared" si="0"/>
        <v>29</v>
      </c>
      <c r="B30" s="9">
        <v>45744</v>
      </c>
      <c r="C30" s="6" t="s">
        <v>46</v>
      </c>
      <c r="L30" s="7"/>
    </row>
    <row r="31" spans="1:12">
      <c r="A31" s="3">
        <v>30</v>
      </c>
      <c r="B31" s="4">
        <v>45745</v>
      </c>
      <c r="C31" s="6" t="s">
        <v>41</v>
      </c>
    </row>
  </sheetData>
  <sortState xmlns:xlrd2="http://schemas.microsoft.com/office/spreadsheetml/2017/richdata2" ref="L2:L30">
    <sortCondition ref="L2"/>
  </sortState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3"/>
  <sheetViews>
    <sheetView workbookViewId="0">
      <selection activeCell="B6" sqref="B6"/>
    </sheetView>
  </sheetViews>
  <sheetFormatPr defaultColWidth="8.85546875" defaultRowHeight="15"/>
  <cols>
    <col min="1" max="1" width="23.140625" customWidth="1"/>
    <col min="2" max="2" width="17.7109375" customWidth="1"/>
    <col min="5" max="5" width="21.28515625" customWidth="1"/>
    <col min="6" max="6" width="17.7109375" customWidth="1"/>
  </cols>
  <sheetData>
    <row r="1" spans="1:6">
      <c r="A1" t="s">
        <v>6</v>
      </c>
      <c r="E1" s="3" t="s">
        <v>114</v>
      </c>
    </row>
    <row r="2" spans="1:6">
      <c r="A2" t="s">
        <v>21</v>
      </c>
      <c r="E2" s="3" t="s">
        <v>115</v>
      </c>
    </row>
    <row r="3" spans="1:6">
      <c r="A3" t="s">
        <v>74</v>
      </c>
      <c r="B3" t="s">
        <v>75</v>
      </c>
      <c r="E3" s="3" t="s">
        <v>116</v>
      </c>
    </row>
    <row r="4" spans="1:6">
      <c r="A4" t="s">
        <v>61</v>
      </c>
      <c r="B4" t="s">
        <v>62</v>
      </c>
      <c r="E4" s="3" t="s">
        <v>117</v>
      </c>
    </row>
    <row r="5" spans="1:6">
      <c r="A5" t="s">
        <v>31</v>
      </c>
    </row>
    <row r="6" spans="1:6">
      <c r="A6" t="s">
        <v>78</v>
      </c>
      <c r="B6" t="s">
        <v>79</v>
      </c>
    </row>
    <row r="7" spans="1:6">
      <c r="A7" t="s">
        <v>118</v>
      </c>
      <c r="B7" t="s">
        <v>119</v>
      </c>
    </row>
    <row r="8" spans="1:6">
      <c r="A8" t="s">
        <v>14</v>
      </c>
      <c r="E8" s="6" t="s">
        <v>100</v>
      </c>
    </row>
    <row r="9" spans="1:6">
      <c r="A9" t="s">
        <v>26</v>
      </c>
      <c r="E9" s="3" t="s">
        <v>101</v>
      </c>
    </row>
    <row r="10" spans="1:6">
      <c r="A10" t="s">
        <v>4</v>
      </c>
      <c r="E10" s="3" t="s">
        <v>102</v>
      </c>
      <c r="F10" t="s">
        <v>84</v>
      </c>
    </row>
    <row r="11" spans="1:6">
      <c r="A11" t="s">
        <v>65</v>
      </c>
      <c r="B11" t="s">
        <v>66</v>
      </c>
      <c r="E11" s="3" t="s">
        <v>103</v>
      </c>
      <c r="F11" t="s">
        <v>86</v>
      </c>
    </row>
    <row r="12" spans="1:6">
      <c r="A12" t="s">
        <v>69</v>
      </c>
      <c r="B12" t="s">
        <v>70</v>
      </c>
      <c r="E12" s="3" t="s">
        <v>104</v>
      </c>
    </row>
    <row r="13" spans="1:6">
      <c r="A13" t="s">
        <v>16</v>
      </c>
      <c r="B13" t="s">
        <v>17</v>
      </c>
      <c r="E13" s="3" t="s">
        <v>30</v>
      </c>
      <c r="F13" t="s">
        <v>90</v>
      </c>
    </row>
    <row r="14" spans="1:6">
      <c r="A14" t="s">
        <v>39</v>
      </c>
      <c r="B14" t="s">
        <v>40</v>
      </c>
      <c r="E14" s="3" t="s">
        <v>105</v>
      </c>
      <c r="F14" t="s">
        <v>89</v>
      </c>
    </row>
    <row r="15" spans="1:6">
      <c r="A15" t="s">
        <v>44</v>
      </c>
      <c r="B15" t="s">
        <v>45</v>
      </c>
      <c r="E15" s="3" t="s">
        <v>58</v>
      </c>
    </row>
    <row r="16" spans="1:6">
      <c r="A16" t="s">
        <v>71</v>
      </c>
      <c r="B16" t="s">
        <v>72</v>
      </c>
      <c r="E16" s="6" t="s">
        <v>106</v>
      </c>
      <c r="F16" t="s">
        <v>92</v>
      </c>
    </row>
    <row r="17" spans="1:6">
      <c r="A17" t="s">
        <v>53</v>
      </c>
      <c r="B17" t="s">
        <v>38</v>
      </c>
      <c r="E17" s="6" t="s">
        <v>107</v>
      </c>
      <c r="F17" t="s">
        <v>87</v>
      </c>
    </row>
    <row r="18" spans="1:6">
      <c r="A18" t="s">
        <v>76</v>
      </c>
      <c r="B18" t="s">
        <v>77</v>
      </c>
      <c r="E18" s="3" t="s">
        <v>108</v>
      </c>
    </row>
    <row r="19" spans="1:6">
      <c r="A19" t="s">
        <v>63</v>
      </c>
      <c r="B19" t="s">
        <v>64</v>
      </c>
      <c r="E19" s="6" t="s">
        <v>48</v>
      </c>
    </row>
    <row r="20" spans="1:6">
      <c r="A20" t="s">
        <v>48</v>
      </c>
      <c r="B20" t="s">
        <v>49</v>
      </c>
      <c r="E20" s="6" t="s">
        <v>110</v>
      </c>
      <c r="F20" t="s">
        <v>111</v>
      </c>
    </row>
    <row r="21" spans="1:6">
      <c r="A21" t="s">
        <v>34</v>
      </c>
      <c r="B21" t="s">
        <v>35</v>
      </c>
      <c r="E21" s="6" t="s">
        <v>112</v>
      </c>
    </row>
    <row r="22" spans="1:6">
      <c r="A22" t="s">
        <v>27</v>
      </c>
      <c r="B22" t="s">
        <v>28</v>
      </c>
      <c r="E22" s="6" t="s">
        <v>113</v>
      </c>
      <c r="F22" t="s">
        <v>91</v>
      </c>
    </row>
    <row r="23" spans="1:6">
      <c r="A23" t="s">
        <v>22</v>
      </c>
      <c r="B23" t="s">
        <v>23</v>
      </c>
      <c r="E23" s="6" t="s">
        <v>51</v>
      </c>
    </row>
  </sheetData>
  <sortState xmlns:xlrd2="http://schemas.microsoft.com/office/spreadsheetml/2017/richdata2" ref="A1:A28">
    <sortCondition ref="A1"/>
  </sortState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6"/>
  <sheetViews>
    <sheetView workbookViewId="0">
      <selection activeCell="C23" sqref="C23"/>
    </sheetView>
  </sheetViews>
  <sheetFormatPr defaultColWidth="9.140625" defaultRowHeight="15"/>
  <cols>
    <col min="1" max="1" width="13.140625" customWidth="1"/>
    <col min="2" max="2" width="20.7109375" customWidth="1"/>
    <col min="3" max="3" width="23.140625" customWidth="1"/>
    <col min="4" max="4" width="17.7109375" customWidth="1"/>
    <col min="5" max="5" width="20.140625" customWidth="1"/>
    <col min="6" max="6" width="20.28515625" customWidth="1"/>
    <col min="7" max="7" width="26.7109375" customWidth="1"/>
    <col min="8" max="8" width="15.42578125" customWidth="1"/>
    <col min="9" max="9" width="11.28515625" customWidth="1"/>
    <col min="10" max="10" width="5.85546875" customWidth="1"/>
    <col min="11" max="11" width="12.28515625" customWidth="1"/>
  </cols>
  <sheetData>
    <row r="1" spans="1:11">
      <c r="A1" s="49" t="s">
        <v>0</v>
      </c>
      <c r="B1" s="49"/>
      <c r="C1" s="49"/>
      <c r="D1" s="1"/>
      <c r="E1" s="1"/>
      <c r="F1" s="1"/>
      <c r="G1" s="1"/>
      <c r="J1" t="s">
        <v>1</v>
      </c>
    </row>
    <row r="2" spans="1:11">
      <c r="A2" s="49" t="s">
        <v>2</v>
      </c>
      <c r="B2" s="49"/>
      <c r="C2" s="49"/>
      <c r="D2" s="1"/>
      <c r="E2" s="1"/>
      <c r="F2" s="1"/>
      <c r="G2" s="1"/>
      <c r="J2" t="s">
        <v>3</v>
      </c>
      <c r="K2" t="s">
        <v>4</v>
      </c>
    </row>
    <row r="3" spans="1:11">
      <c r="J3" t="s">
        <v>5</v>
      </c>
      <c r="K3" t="s">
        <v>6</v>
      </c>
    </row>
    <row r="4" spans="1:11">
      <c r="A4" s="2" t="s">
        <v>93</v>
      </c>
      <c r="B4" s="2" t="s">
        <v>7</v>
      </c>
      <c r="C4" s="2" t="s">
        <v>9</v>
      </c>
      <c r="D4" s="2" t="s">
        <v>10</v>
      </c>
      <c r="E4" s="2" t="s">
        <v>11</v>
      </c>
      <c r="F4" s="1" t="s">
        <v>12</v>
      </c>
      <c r="G4" s="1"/>
      <c r="H4" s="2" t="s">
        <v>10</v>
      </c>
      <c r="J4" t="s">
        <v>13</v>
      </c>
      <c r="K4" t="s">
        <v>14</v>
      </c>
    </row>
    <row r="5" spans="1:11">
      <c r="A5" s="3">
        <v>6</v>
      </c>
      <c r="B5" s="4">
        <v>45721</v>
      </c>
      <c r="C5" s="3" t="s">
        <v>31</v>
      </c>
      <c r="E5" s="3" t="s">
        <v>37</v>
      </c>
      <c r="F5" s="5" t="s">
        <v>18</v>
      </c>
      <c r="G5" s="3" t="s">
        <v>30</v>
      </c>
    </row>
    <row r="6" spans="1:11">
      <c r="A6" s="3">
        <v>8</v>
      </c>
      <c r="B6" s="4">
        <v>45723</v>
      </c>
      <c r="C6" s="3" t="s">
        <v>4</v>
      </c>
      <c r="E6" s="3" t="s">
        <v>42</v>
      </c>
      <c r="F6" s="5" t="s">
        <v>18</v>
      </c>
      <c r="G6" s="3" t="s">
        <v>43</v>
      </c>
    </row>
    <row r="7" spans="1:11">
      <c r="A7" s="3">
        <v>10</v>
      </c>
      <c r="B7" s="4">
        <v>45725</v>
      </c>
      <c r="C7" s="3" t="s">
        <v>6</v>
      </c>
      <c r="E7" s="6" t="s">
        <v>46</v>
      </c>
      <c r="F7" s="5" t="s">
        <v>18</v>
      </c>
      <c r="G7" s="6" t="s">
        <v>41</v>
      </c>
    </row>
    <row r="8" spans="1:11">
      <c r="A8" s="3">
        <v>12</v>
      </c>
      <c r="B8" s="4">
        <v>45727</v>
      </c>
      <c r="C8" s="3" t="s">
        <v>14</v>
      </c>
      <c r="E8" s="3" t="s">
        <v>50</v>
      </c>
      <c r="F8" s="5" t="s">
        <v>18</v>
      </c>
      <c r="G8" s="6" t="s">
        <v>52</v>
      </c>
    </row>
    <row r="9" spans="1:11">
      <c r="A9" s="3">
        <v>14</v>
      </c>
      <c r="B9" s="4">
        <v>45729</v>
      </c>
      <c r="C9" s="3" t="s">
        <v>21</v>
      </c>
      <c r="E9" s="7" t="s">
        <v>32</v>
      </c>
      <c r="F9" s="8" t="s">
        <v>18</v>
      </c>
      <c r="G9" s="6" t="s">
        <v>55</v>
      </c>
    </row>
    <row r="10" spans="1:11">
      <c r="A10" s="3">
        <v>16</v>
      </c>
      <c r="B10" s="4">
        <v>45731</v>
      </c>
      <c r="C10" s="3" t="s">
        <v>26</v>
      </c>
      <c r="E10" s="6" t="s">
        <v>55</v>
      </c>
      <c r="F10" s="5" t="s">
        <v>18</v>
      </c>
      <c r="G10" s="6" t="s">
        <v>51</v>
      </c>
    </row>
    <row r="11" spans="1:11">
      <c r="A11" s="3">
        <v>18</v>
      </c>
      <c r="B11" s="4">
        <v>45733</v>
      </c>
      <c r="C11" s="3" t="s">
        <v>114</v>
      </c>
      <c r="D11" t="s">
        <v>119</v>
      </c>
      <c r="E11" s="6" t="s">
        <v>51</v>
      </c>
      <c r="F11" s="5" t="s">
        <v>18</v>
      </c>
      <c r="G11" s="5"/>
    </row>
    <row r="12" spans="1:11">
      <c r="A12" s="3">
        <v>20</v>
      </c>
      <c r="B12" s="4">
        <v>45735</v>
      </c>
      <c r="C12" s="3" t="s">
        <v>115</v>
      </c>
      <c r="D12" t="s">
        <v>62</v>
      </c>
      <c r="E12" s="6" t="s">
        <v>19</v>
      </c>
      <c r="F12" s="5" t="s">
        <v>18</v>
      </c>
      <c r="G12" s="5"/>
    </row>
    <row r="13" spans="1:11">
      <c r="A13" s="3">
        <v>22</v>
      </c>
      <c r="B13" s="4">
        <v>45737</v>
      </c>
      <c r="C13" s="3" t="s">
        <v>116</v>
      </c>
      <c r="D13" t="s">
        <v>66</v>
      </c>
      <c r="E13" s="3" t="s">
        <v>29</v>
      </c>
      <c r="F13" s="8" t="s">
        <v>67</v>
      </c>
      <c r="G13" s="5" t="s">
        <v>68</v>
      </c>
    </row>
    <row r="14" spans="1:11">
      <c r="A14" s="3">
        <v>24</v>
      </c>
      <c r="B14" s="4">
        <v>45739</v>
      </c>
      <c r="C14" s="3" t="s">
        <v>117</v>
      </c>
      <c r="D14" t="s">
        <v>70</v>
      </c>
      <c r="E14" s="3" t="s">
        <v>37</v>
      </c>
      <c r="F14" s="5" t="s">
        <v>18</v>
      </c>
      <c r="G14" s="5"/>
    </row>
    <row r="15" spans="1:11">
      <c r="A15" s="3">
        <v>26</v>
      </c>
      <c r="B15" s="4">
        <v>45741</v>
      </c>
      <c r="C15" s="3" t="s">
        <v>120</v>
      </c>
      <c r="E15" s="6" t="s">
        <v>54</v>
      </c>
      <c r="F15" s="5" t="s">
        <v>121</v>
      </c>
      <c r="G15" s="5"/>
    </row>
    <row r="16" spans="1:11">
      <c r="A16" s="3">
        <v>28</v>
      </c>
      <c r="B16" s="4">
        <v>45743</v>
      </c>
      <c r="C16" s="3" t="s">
        <v>78</v>
      </c>
      <c r="E16" s="3" t="s">
        <v>43</v>
      </c>
      <c r="F16" s="5" t="s">
        <v>18</v>
      </c>
      <c r="G16" s="5"/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Pak Gatot</vt:lpstr>
      <vt:lpstr>Sheet2</vt:lpstr>
      <vt:lpstr>Nomor WA</vt:lpstr>
      <vt:lpstr>DT</vt:lpstr>
      <vt:lpstr>Olah - Pak Gatot</vt:lpstr>
      <vt:lpstr>Sheet1</vt:lpstr>
      <vt:lpstr>Olah - Santri</vt:lpstr>
      <vt:lpstr>DT!Print_Area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123</cp:lastModifiedBy>
  <dcterms:created xsi:type="dcterms:W3CDTF">2023-04-03T19:55:00Z</dcterms:created>
  <dcterms:modified xsi:type="dcterms:W3CDTF">2026-02-11T14:28:30Z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3F5182C01F4E4DE0B1E18869394AA63B</vt:lpwstr>
  </property>
  <property fmtid="{D5CDD505-2E9C-101B-9397-08002B2CF9AE}" pid="3" name="KSOProductBuildVer">
    <vt:lpwstr>1033-11.1.0.11719</vt:lpwstr>
  </property>
</Properties>
</file>