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DATA\jadwal-imam-tarawih\"/>
    </mc:Choice>
  </mc:AlternateContent>
  <xr:revisionPtr revIDLastSave="0" documentId="13_ncr:1_{A1C49F18-17D7-4E39-AD40-81161E0457A5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Pak Gatot" sheetId="2" r:id="rId1"/>
    <sheet name="Sheet2" sheetId="7" r:id="rId2"/>
    <sheet name="Nomor WA" sheetId="6" r:id="rId3"/>
    <sheet name="DT" sheetId="1" r:id="rId4"/>
    <sheet name="Olah - Pak Gatot" sheetId="3" r:id="rId5"/>
    <sheet name="Sheet1" sheetId="5" r:id="rId6"/>
    <sheet name="Olah - Santri" sheetId="4" r:id="rId7"/>
  </sheets>
  <definedNames>
    <definedName name="_xlnm.Print_Area" localSheetId="3">DT!$A$1:$D$36</definedName>
  </definedNames>
  <calcPr calcId="181029"/>
</workbook>
</file>

<file path=xl/calcChain.xml><?xml version="1.0" encoding="utf-8"?>
<calcChain xmlns="http://schemas.openxmlformats.org/spreadsheetml/2006/main">
  <c r="H39" i="2" l="1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<sst xmlns="http://schemas.openxmlformats.org/spreadsheetml/2006/main" count="796" uniqueCount="170">
  <si>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</si>
  <si>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</si>
  <si>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</si>
  <si>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</si>
  <si>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</si>
  <si>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</si>
  <si>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</si>
  <si>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</si>
  <si>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</si>
  <si>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</si>
  <si>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</si>
  <si>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</si>
  <si>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</si>
  <si>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</si>
  <si>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</si>
  <si>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</si>
  <si>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</si>
  <si>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</si>
  <si>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</si>
  <si>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</si>
  <si>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</si>
  <si>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</si>
  <si>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</si>
  <si>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</si>
  <si>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</si>
  <si>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</si>
  <si>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</si>
  <si>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</si>
  <si>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</si>
  <si>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</si>
  <si>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</si>
  <si>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</si>
  <si>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</si>
  <si>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</si>
  <si>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</si>
  <si>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</si>
  <si>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</si>
  <si>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</si>
  <si>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</si>
  <si>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</si>
  <si>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</si>
  <si>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</si>
  <si>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</si>
  <si>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</si>
  <si>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</si>
  <si>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</si>
  <si>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</si>
  <si>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</si>
  <si>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</si>
  <si>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</si>
  <si>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</si>
  <si>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</si>
  <si>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</si>
  <si>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</si>
  <si>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</si>
  <si>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</si>
  <si>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</si>
  <si>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</si>
  <si>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</si>
  <si>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</si>
  <si>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</si>
  <si>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</si>
  <si>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</si>
  <si>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</si>
  <si>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</si>
  <si>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</si>
  <si>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</si>
  <si>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</si>
  <si>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</si>
  <si>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</si>
  <si>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</si>
  <si>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</si>
  <si>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</si>
  <si>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</si>
  <si>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</si>
  <si>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</si>
  <si>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</si>
  <si>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</si>
  <si>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</si>
  <si>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</si>
  <si>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</si>
  <si>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</si>
  <si>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</si>
  <si>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</si>
  <si>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</si>
  <si>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</si>
  <si>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</si>
  <si>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</si>
  <si>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</si>
  <si>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</si>
  <si>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</si>
  <si>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</si>
  <si>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</si>
  <si>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</si>
  <si>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</si>
  <si>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</si>
  <si>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</si>
  <si>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</si>
  <si>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</si>
  <si>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</si>
  <si>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</si>
  <si>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</si>
  <si>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</si>
  <si>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</si>
  <si>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</si>
  <si>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</si>
  <si>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</si>
  <si>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</si>
  <si>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</si>
  <si>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</si>
  <si>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</si>
  <si>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</si>
  <si>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</si>
  <si>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</si>
  <si>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</si>
  <si>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</si>
  <si>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</si>
  <si>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</si>
  <si>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</si>
  <si>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</si>
  <si>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</si>
  <si>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</si>
  <si>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</si>
  <si>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</si>
  <si>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</si>
  <si>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</si>
  <si>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</si>
  <si>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</si>
  <si>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</si>
  <si>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</si>
  <si>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</si>
  <si>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</si>
  <si>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</si>
  <si>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</si>
  <si>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</si>
  <si>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</si>
  <si>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</si>
  <si>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</si>
  <si>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</si>
  <si>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</si>
  <si>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</si>
  <si>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</si>
  <si>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</si>
  <si>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</si>
  <si>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</si>
  <si>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</si>
  <si>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</si>
  <si>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</si>
  <si>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</si>
  <si>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</si>
  <si>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</si>
  <si>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</si>
  <si>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</si>
  <si>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</si>
  <si>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</si>
  <si>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</si>
  <si>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</si>
  <si>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</si>
  <si>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</si>
  <si>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</si>
  <si>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</si>
  <si>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</si>
  <si>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</si>
  <si>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</si>
  <si>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</si>
  <si>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</si>
  <si>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</si>
  <si>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</si>
  <si>
    <t>085156952623</t>
  </si>
  <si>
    <t>Pengulangan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</si>
</sst>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dd&quot;, &quot;dd\ mmmm\ yyyy"/>
  </numFmts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  <xf numFmtId="0" fontId="2" fillId="4" borderId="3" xfId="0" applyFont="1" applyFill="1" applyBorder="1">
      <alignment vertical="center"/>
    </xf>
    <xf numFmtId="0" fontId="2" fillId="0" borderId="3" xfId="0" applyFont="1" applyBorder="1">
      <alignment vertical="center"/>
    </xf>
    <xf numFmtId="0" fontId="4" fillId="4" borderId="3" xfId="0" applyFont="1" applyFill="1" applyBorder="1">
      <alignment vertical="center"/>
    </xf>
    <xf numFmtId="49" fontId="2" fillId="4" borderId="3" xfId="0" applyNumberFormat="1" applyFont="1" applyFill="1" applyBorder="1">
      <alignment vertical="center"/>
    </xf>
    <xf numFmtId="49" fontId="2" fillId="0" borderId="3" xfId="0" applyNumberFormat="1" applyFont="1" applyBorder="1">
      <alignment vertical="center"/>
    </xf>
    <xf numFmtId="0" fontId="2" fillId="4" borderId="4" xfId="0" applyFont="1" applyFill="1" applyBorder="1">
      <alignment vertical="center"/>
    </xf>
    <xf numFmtId="49" fontId="2" fillId="4" borderId="4" xfId="0" applyNumberFormat="1" applyFont="1" applyFill="1" applyBorder="1">
      <alignment vertical="center"/>
    </xf>
    <xf numFmtId="0" fontId="2" fillId="0" borderId="4" xfId="0" applyFont="1" applyBorder="1">
      <alignment vertical="center"/>
    </xf>
    <xf numFmtId="49" fontId="2" fillId="0" borderId="4" xfId="0" applyNumberFormat="1" applyFont="1" applyBorder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3" xfId="0" applyFont="1" applyBorder="1">
      <alignment vertical="center"/>
    </xf>
    <xf numFmtId="0" fontId="0" fillId="4" borderId="3" xfId="0" applyFont="1" applyFill="1" applyBorder="1">
      <alignment vertical="center"/>
    </xf>
    <xf numFmtId="0" fontId="1" fillId="0" borderId="3" xfId="0" applyFont="1" applyBorder="1">
      <alignment vertical="center"/>
    </xf>
    <xf numFmtId="0" fontId="1" fillId="4" borderId="3" xfId="0" applyFont="1" applyFill="1" applyBorder="1">
      <alignment vertical="center"/>
    </xf>
    <xf numFmtId="49" fontId="0" fillId="4" borderId="3" xfId="0" applyNumberFormat="1" applyFont="1" applyFill="1" applyBorder="1">
      <alignment vertical="center"/>
    </xf>
    <xf numFmtId="49" fontId="0" fillId="0" borderId="3" xfId="0" applyNumberFormat="1" applyFont="1" applyBorder="1">
      <alignment vertical="center"/>
    </xf>
    <xf numFmtId="0" fontId="0" fillId="0" borderId="3" xfId="0" quotePrefix="1" applyFont="1" applyBorder="1">
      <alignment vertical="center"/>
    </xf>
    <xf numFmtId="0" fontId="3" fillId="0" borderId="0" xfId="0" applyNumberFormat="1" applyFont="1" applyAlignment="1">
      <alignment horizontal="center" vertical="center"/>
    </xf>
    <xf numFmtId="0" fontId="3" fillId="0" borderId="2" xfId="0" applyNumberFormat="1" applyFont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quotePrefix="1" applyNumberFormat="1">
      <alignment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[$-421]dddd&quot;, &quot;dd\ 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7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0</xdr:row>
      <xdr:rowOff>0</xdr:rowOff>
    </xdr:from>
    <xdr:to>
      <xdr:col>18</xdr:col>
      <xdr:colOff>76200</xdr:colOff>
      <xdr:row>35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4075" y="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20">
  <autoFilter ref="A5:E34" xr:uid="{7F672EF5-F5A6-4182-8647-3A86B3566FAB}"/>
  <tableColumns count="5">
    <tableColumn id="1" xr3:uid="{EDA3354A-D911-4857-BDFD-2A76F68799B6}" name="Nomor" dataDxfId="19">
      <calculatedColumnFormula>A5+1</calculatedColumnFormula>
    </tableColumn>
    <tableColumn id="2" xr3:uid="{EE32957E-B020-43A5-93B6-4F4983A5B8C5}" name="Tanggal" dataDxfId="18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7">
      <calculatedColumnFormula>VLOOKUP(Table1[[#This Row],[Imam]],Table35[#All],2,FALSE)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530C33-B6B5-4115-9923-45D7AFE34439}" name="Table35" displayName="Table35" ref="F38:H56" totalsRowShown="0" tableBorderDxfId="9">
  <autoFilter ref="F38:H56" xr:uid="{D9530C33-B6B5-4115-9923-45D7AFE34439}"/>
  <sortState xmlns:xlrd2="http://schemas.microsoft.com/office/spreadsheetml/2017/richdata2" ref="F39:G56">
    <sortCondition ref="F1:F19"/>
  </sortState>
  <tableColumns count="3">
    <tableColumn id="1" xr3:uid="{F724475A-A50A-4C3B-815A-F4FD22C8480A}" name="Nama"/>
    <tableColumn id="2" xr3:uid="{FF44FB9B-A317-41C3-9E91-41A8D60563FD}" name="Nomor WA" dataDxfId="8"/>
    <tableColumn id="3" xr3:uid="{1A922AE0-1ED0-4A04-AAF7-5D85C9B067EF}" name="Pengulangan" dataDxfId="6">
      <calculatedColumnFormula>COUNTIF(Table1[Imam],Table35[[#This Row],[Nama]])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622B11-EC89-4AF0-9DF4-FB14C2B1C37F}" name="Table3" displayName="Table3" ref="A1:B19" totalsRowShown="0" tableBorderDxfId="13">
  <autoFilter ref="A1:B19" xr:uid="{2A622B11-EC89-4AF0-9DF4-FB14C2B1C37F}"/>
  <sortState xmlns:xlrd2="http://schemas.microsoft.com/office/spreadsheetml/2017/richdata2" ref="A2:B19">
    <sortCondition ref="A1:A19"/>
  </sortState>
  <tableColumns count="2">
    <tableColumn id="1" xr3:uid="{2AB0227A-689E-434E-BE31-2D3674F24B79}" name="Nama"/>
    <tableColumn id="2" xr3:uid="{BBECE007-5A72-4694-9062-83FE01F91734}" name="Nomor WA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17" tableBorderDxfId="16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15"/>
    <tableColumn id="2" xr3:uid="{97DD37ED-3D7B-4850-8D30-26BB8E10C618}" name="Nomor WA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69"/>
  <sheetViews>
    <sheetView tabSelected="1" workbookViewId="0">
      <selection activeCell="D7" sqref="D7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style="36" bestFit="1" customWidth="1"/>
    <col min="6" max="6" width="22.1406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7.5703125" bestFit="1" customWidth="1"/>
    <col min="13" max="13" width="21.5703125" bestFit="1" customWidth="1"/>
  </cols>
  <sheetData>
    <row r="2" spans="1:10">
      <c r="A2" s="25" t="s">
        <v>122</v>
      </c>
      <c r="B2" s="25"/>
      <c r="C2" s="25"/>
      <c r="D2" s="25"/>
      <c r="E2" s="34"/>
      <c r="F2" s="1"/>
      <c r="G2" s="1"/>
      <c r="H2" s="1" t="s">
        <v>145</v>
      </c>
      <c r="J2" t="s">
        <v>82</v>
      </c>
    </row>
    <row r="3" spans="1:10">
      <c r="A3" s="25" t="s">
        <v>83</v>
      </c>
      <c r="B3" s="25"/>
      <c r="C3" s="25"/>
      <c r="D3" s="25"/>
      <c r="E3" s="34"/>
      <c r="F3" s="1"/>
      <c r="G3" s="1"/>
    </row>
    <row r="5" spans="1:10">
      <c r="A5" s="1" t="s">
        <v>136</v>
      </c>
      <c r="B5" s="1" t="s">
        <v>7</v>
      </c>
      <c r="C5" s="1" t="s">
        <v>9</v>
      </c>
      <c r="D5" s="1" t="s">
        <v>137</v>
      </c>
      <c r="E5" s="35" t="s">
        <v>140</v>
      </c>
      <c r="F5" s="1"/>
      <c r="G5" s="1"/>
      <c r="H5" s="1" t="s">
        <v>138</v>
      </c>
    </row>
    <row r="6" spans="1:10">
      <c r="A6" s="5">
        <v>1</v>
      </c>
      <c r="B6" s="13">
        <v>46071</v>
      </c>
      <c r="C6" s="12" t="s">
        <v>129</v>
      </c>
      <c r="D6" s="15" t="s">
        <v>143</v>
      </c>
      <c r="E6" s="36" t="str">
        <f>VLOOKUP(Table1[[#This Row],[Imam]],Table35[#All],2,FALSE)</f>
        <v>082320040021</v>
      </c>
      <c r="F6" s="3" t="s">
        <v>19</v>
      </c>
      <c r="G6" t="s">
        <v>38</v>
      </c>
      <c r="H6" t="s">
        <v>101</v>
      </c>
      <c r="J6" t="s">
        <v>129</v>
      </c>
    </row>
    <row r="7" spans="1:10">
      <c r="A7" s="5">
        <f t="shared" ref="A7:A34" si="0">A6+1</f>
        <v>2</v>
      </c>
      <c r="B7" s="13">
        <v>46072</v>
      </c>
      <c r="C7" s="12" t="s">
        <v>127</v>
      </c>
      <c r="D7" s="15" t="s">
        <v>143</v>
      </c>
      <c r="E7" s="36" t="str">
        <f>VLOOKUP(Table1[[#This Row],[Imam]],Table35[#All],2,FALSE)</f>
        <v>081545143654</v>
      </c>
      <c r="F7" s="3" t="s">
        <v>24</v>
      </c>
      <c r="G7" t="s">
        <v>17</v>
      </c>
      <c r="H7" t="s">
        <v>34</v>
      </c>
      <c r="J7" t="s">
        <v>103</v>
      </c>
    </row>
    <row r="8" spans="1:10">
      <c r="A8" s="5">
        <f t="shared" si="0"/>
        <v>3</v>
      </c>
      <c r="B8" s="13">
        <v>46073</v>
      </c>
      <c r="C8" s="12" t="s">
        <v>104</v>
      </c>
      <c r="D8" s="15" t="s">
        <v>143</v>
      </c>
      <c r="E8" s="36" t="str">
        <f>VLOOKUP(Table1[[#This Row],[Imam]],Table35[#All],2,FALSE)</f>
        <v>081341459342</v>
      </c>
      <c r="F8" s="3" t="s">
        <v>29</v>
      </c>
      <c r="G8" t="s">
        <v>84</v>
      </c>
      <c r="H8" t="s">
        <v>71</v>
      </c>
      <c r="J8" t="s">
        <v>104</v>
      </c>
    </row>
    <row r="9" spans="1:10">
      <c r="A9" s="5">
        <f t="shared" si="0"/>
        <v>4</v>
      </c>
      <c r="B9" s="13">
        <v>46074</v>
      </c>
      <c r="C9" s="12" t="s">
        <v>130</v>
      </c>
      <c r="D9" s="15" t="s">
        <v>143</v>
      </c>
      <c r="E9" s="37" t="str">
        <f>VLOOKUP(Table1[[#This Row],[Imam]],Table35[#All],2,FALSE)</f>
        <v>085156952623</v>
      </c>
      <c r="F9" s="3" t="s">
        <v>32</v>
      </c>
      <c r="G9" s="5" t="s">
        <v>85</v>
      </c>
      <c r="H9" t="s">
        <v>139</v>
      </c>
      <c r="J9" t="s">
        <v>130</v>
      </c>
    </row>
    <row r="10" spans="1:10">
      <c r="A10" s="5">
        <f t="shared" si="0"/>
        <v>5</v>
      </c>
      <c r="B10" s="13">
        <v>46075</v>
      </c>
      <c r="C10" s="12" t="s">
        <v>124</v>
      </c>
      <c r="D10" s="15" t="s">
        <v>143</v>
      </c>
      <c r="E10" s="36" t="str">
        <f>VLOOKUP(Table1[[#This Row],[Imam]],Table35[#All],2,FALSE)</f>
        <v>085388898918</v>
      </c>
      <c r="F10" s="3" t="s">
        <v>33</v>
      </c>
      <c r="G10" t="s">
        <v>86</v>
      </c>
      <c r="H10" t="s">
        <v>63</v>
      </c>
      <c r="J10" t="s">
        <v>124</v>
      </c>
    </row>
    <row r="11" spans="1:10">
      <c r="A11" s="5">
        <f t="shared" si="0"/>
        <v>6</v>
      </c>
      <c r="B11" s="13">
        <v>46076</v>
      </c>
      <c r="C11" s="12" t="s">
        <v>131</v>
      </c>
      <c r="D11" t="s">
        <v>143</v>
      </c>
      <c r="E11" s="36" t="str">
        <f>VLOOKUP(Table1[[#This Row],[Imam]],Table35[#All],2,FALSE)</f>
        <v>082153442363</v>
      </c>
      <c r="F11" s="3" t="s">
        <v>37</v>
      </c>
      <c r="G11" t="s">
        <v>45</v>
      </c>
      <c r="H11" t="s">
        <v>132</v>
      </c>
      <c r="J11" t="s">
        <v>131</v>
      </c>
    </row>
    <row r="12" spans="1:10">
      <c r="A12" s="5">
        <f t="shared" si="0"/>
        <v>7</v>
      </c>
      <c r="B12" s="13">
        <v>46077</v>
      </c>
      <c r="C12" s="12" t="s">
        <v>71</v>
      </c>
      <c r="D12" s="15" t="s">
        <v>143</v>
      </c>
      <c r="E12" s="36" t="str">
        <f>VLOOKUP(Table1[[#This Row],[Imam]],Table35[#All],2,FALSE)</f>
        <v>082274180206</v>
      </c>
      <c r="F12" s="3" t="s">
        <v>30</v>
      </c>
      <c r="G12" t="s">
        <v>90</v>
      </c>
      <c r="H12" t="s">
        <v>53</v>
      </c>
      <c r="J12" t="s">
        <v>71</v>
      </c>
    </row>
    <row r="13" spans="1:10">
      <c r="A13" s="5">
        <f t="shared" si="0"/>
        <v>8</v>
      </c>
      <c r="B13" s="13">
        <v>46078</v>
      </c>
      <c r="C13" s="12" t="s">
        <v>101</v>
      </c>
      <c r="D13" t="s">
        <v>143</v>
      </c>
      <c r="E13" s="36" t="str">
        <f>VLOOKUP(Table1[[#This Row],[Imam]],Table35[#All],2,FALSE)</f>
        <v>082254991016</v>
      </c>
      <c r="F13" s="3" t="s">
        <v>57</v>
      </c>
      <c r="G13" t="s">
        <v>88</v>
      </c>
      <c r="H13" t="s">
        <v>48</v>
      </c>
      <c r="J13" t="s">
        <v>101</v>
      </c>
    </row>
    <row r="14" spans="1:10">
      <c r="A14" s="5">
        <f t="shared" si="0"/>
        <v>9</v>
      </c>
      <c r="B14" s="13">
        <v>46079</v>
      </c>
      <c r="C14" s="12" t="s">
        <v>123</v>
      </c>
      <c r="D14" s="15" t="s">
        <v>143</v>
      </c>
      <c r="E14" s="36" t="str">
        <f>VLOOKUP(Table1[[#This Row],[Imam]],Table35[#All],2,FALSE)</f>
        <v>082252826688</v>
      </c>
      <c r="F14" s="3" t="s">
        <v>43</v>
      </c>
      <c r="G14" t="s">
        <v>72</v>
      </c>
      <c r="H14" t="s">
        <v>135</v>
      </c>
      <c r="J14" t="s">
        <v>123</v>
      </c>
    </row>
    <row r="15" spans="1:10">
      <c r="A15" s="5">
        <f t="shared" si="0"/>
        <v>10</v>
      </c>
      <c r="B15" s="13">
        <v>46080</v>
      </c>
      <c r="C15" s="12" t="s">
        <v>53</v>
      </c>
      <c r="D15" s="15" t="s">
        <v>143</v>
      </c>
      <c r="E15" s="36" t="str">
        <f>VLOOKUP(Table1[[#This Row],[Imam]],Table35[#All],2,FALSE)</f>
        <v>082123226368</v>
      </c>
      <c r="F15" s="3" t="s">
        <v>42</v>
      </c>
      <c r="G15" t="s">
        <v>89</v>
      </c>
      <c r="H15" t="s">
        <v>130</v>
      </c>
      <c r="J15" t="s">
        <v>53</v>
      </c>
    </row>
    <row r="16" spans="1:10">
      <c r="A16" s="5">
        <f t="shared" si="0"/>
        <v>11</v>
      </c>
      <c r="B16" s="13">
        <v>46081</v>
      </c>
      <c r="C16" s="12" t="s">
        <v>132</v>
      </c>
      <c r="D16" t="s">
        <v>143</v>
      </c>
      <c r="E16" s="36" t="str">
        <f>VLOOKUP(Table1[[#This Row],[Imam]],Table35[#All],2,FALSE)</f>
        <v>085754227966</v>
      </c>
      <c r="F16" s="3" t="s">
        <v>30</v>
      </c>
      <c r="G16" t="s">
        <v>90</v>
      </c>
      <c r="H16" t="s">
        <v>127</v>
      </c>
      <c r="J16" t="s">
        <v>132</v>
      </c>
    </row>
    <row r="17" spans="1:10">
      <c r="A17" s="5">
        <f t="shared" si="0"/>
        <v>12</v>
      </c>
      <c r="B17" s="13">
        <v>46082</v>
      </c>
      <c r="C17" s="12" t="s">
        <v>63</v>
      </c>
      <c r="D17" s="15" t="s">
        <v>143</v>
      </c>
      <c r="E17" s="36" t="str">
        <f>VLOOKUP(Table1[[#This Row],[Imam]],Table35[#All],2,FALSE)</f>
        <v>085389333869</v>
      </c>
      <c r="F17" s="3" t="s">
        <v>43</v>
      </c>
      <c r="G17" t="s">
        <v>72</v>
      </c>
      <c r="H17" t="s">
        <v>131</v>
      </c>
      <c r="J17" t="s">
        <v>63</v>
      </c>
    </row>
    <row r="18" spans="1:10">
      <c r="A18" s="5">
        <f t="shared" si="0"/>
        <v>13</v>
      </c>
      <c r="B18" s="13">
        <v>46083</v>
      </c>
      <c r="C18" s="12" t="s">
        <v>141</v>
      </c>
      <c r="E18" s="36" t="str">
        <f>VLOOKUP(Table1[[#This Row],[Imam]],Table35[#All],2,FALSE)</f>
        <v>081346326451</v>
      </c>
      <c r="F18" s="3" t="s">
        <v>52</v>
      </c>
      <c r="G18" t="s">
        <v>49</v>
      </c>
      <c r="H18" t="s">
        <v>101</v>
      </c>
      <c r="J18" t="s">
        <v>133</v>
      </c>
    </row>
    <row r="19" spans="1:10">
      <c r="A19" s="5">
        <f t="shared" si="0"/>
        <v>14</v>
      </c>
      <c r="B19" s="13">
        <v>46084</v>
      </c>
      <c r="C19" s="12" t="s">
        <v>48</v>
      </c>
      <c r="D19" s="15" t="s">
        <v>143</v>
      </c>
      <c r="E19" s="36" t="str">
        <f>VLOOKUP(Table1[[#This Row],[Imam]],Table35[#All],2,FALSE)</f>
        <v>081351655536</v>
      </c>
      <c r="F19" s="3" t="s">
        <v>32</v>
      </c>
      <c r="G19" s="5" t="s">
        <v>85</v>
      </c>
      <c r="H19" t="s">
        <v>34</v>
      </c>
      <c r="J19" t="s">
        <v>48</v>
      </c>
    </row>
    <row r="20" spans="1:10">
      <c r="A20" s="5">
        <f t="shared" si="0"/>
        <v>15</v>
      </c>
      <c r="B20" s="13">
        <v>46085</v>
      </c>
      <c r="C20" s="38" t="s">
        <v>135</v>
      </c>
      <c r="E20" s="36" t="str">
        <f>VLOOKUP(Table1[[#This Row],[Imam]],Table35[#All],2,FALSE)</f>
        <v>081324698218</v>
      </c>
      <c r="F20" s="3" t="s">
        <v>30</v>
      </c>
      <c r="G20" t="s">
        <v>90</v>
      </c>
      <c r="H20" t="s">
        <v>71</v>
      </c>
      <c r="J20" t="s">
        <v>125</v>
      </c>
    </row>
    <row r="21" spans="1:10">
      <c r="A21" s="5">
        <f t="shared" si="0"/>
        <v>16</v>
      </c>
      <c r="B21" s="13">
        <v>46086</v>
      </c>
      <c r="C21" s="12" t="s">
        <v>123</v>
      </c>
      <c r="D21" t="s">
        <v>143</v>
      </c>
      <c r="E21" s="36" t="str">
        <f>VLOOKUP(Table1[[#This Row],[Imam]],Table35[#All],2,FALSE)</f>
        <v>082252826688</v>
      </c>
      <c r="F21" s="3" t="s">
        <v>55</v>
      </c>
      <c r="G21" t="s">
        <v>35</v>
      </c>
      <c r="H21" t="s">
        <v>128</v>
      </c>
      <c r="J21" t="s">
        <v>134</v>
      </c>
    </row>
    <row r="22" spans="1:10">
      <c r="A22" s="5">
        <f t="shared" si="0"/>
        <v>17</v>
      </c>
      <c r="B22" s="13">
        <v>46087</v>
      </c>
      <c r="C22" s="38" t="s">
        <v>135</v>
      </c>
      <c r="E22" s="36" t="str">
        <f>VLOOKUP(Table1[[#This Row],[Imam]],Table35[#All],2,FALSE)</f>
        <v>081324698218</v>
      </c>
      <c r="F22" s="3" t="s">
        <v>56</v>
      </c>
      <c r="G22" t="s">
        <v>91</v>
      </c>
      <c r="H22" t="s">
        <v>104</v>
      </c>
      <c r="J22" t="s">
        <v>126</v>
      </c>
    </row>
    <row r="23" spans="1:10">
      <c r="A23" s="5">
        <f t="shared" si="0"/>
        <v>18</v>
      </c>
      <c r="B23" s="13">
        <v>46088</v>
      </c>
      <c r="C23" s="12" t="s">
        <v>34</v>
      </c>
      <c r="D23" t="s">
        <v>143</v>
      </c>
      <c r="E23" s="36" t="str">
        <f>VLOOKUP(Table1[[#This Row],[Imam]],Table35[#All],2,FALSE)</f>
        <v>085345800531</v>
      </c>
      <c r="F23" s="3" t="s">
        <v>51</v>
      </c>
      <c r="G23" t="s">
        <v>23</v>
      </c>
      <c r="H23" t="s">
        <v>53</v>
      </c>
      <c r="J23" t="s">
        <v>34</v>
      </c>
    </row>
    <row r="24" spans="1:10">
      <c r="A24" s="5">
        <f t="shared" si="0"/>
        <v>19</v>
      </c>
      <c r="B24" s="13">
        <v>46089</v>
      </c>
      <c r="C24" s="12" t="s">
        <v>128</v>
      </c>
      <c r="D24" s="15" t="s">
        <v>143</v>
      </c>
      <c r="E24" s="36" t="str">
        <f>VLOOKUP(Table1[[#This Row],[Imam]],Table35[#All],2,FALSE)</f>
        <v>08985520616</v>
      </c>
      <c r="F24" s="3" t="s">
        <v>46</v>
      </c>
      <c r="G24" t="s">
        <v>92</v>
      </c>
      <c r="H24" t="s">
        <v>48</v>
      </c>
      <c r="J24" t="s">
        <v>128</v>
      </c>
    </row>
    <row r="25" spans="1:10">
      <c r="A25" s="5">
        <f t="shared" si="0"/>
        <v>20</v>
      </c>
      <c r="B25" s="13">
        <v>46090</v>
      </c>
      <c r="C25" s="12" t="s">
        <v>127</v>
      </c>
      <c r="D25" s="15" t="s">
        <v>143</v>
      </c>
      <c r="E25" s="36" t="str">
        <f>VLOOKUP(Table1[[#This Row],[Imam]],Table35[#All],2,FALSE)</f>
        <v>081545143654</v>
      </c>
      <c r="F25" s="3" t="s">
        <v>19</v>
      </c>
      <c r="G25" t="s">
        <v>38</v>
      </c>
      <c r="H25" t="s">
        <v>135</v>
      </c>
      <c r="J25" t="s">
        <v>135</v>
      </c>
    </row>
    <row r="26" spans="1:10">
      <c r="A26" s="5">
        <f t="shared" si="0"/>
        <v>21</v>
      </c>
      <c r="B26" s="13">
        <v>46091</v>
      </c>
      <c r="C26" s="12" t="s">
        <v>135</v>
      </c>
      <c r="D26" t="s">
        <v>143</v>
      </c>
      <c r="E26" s="36" t="str">
        <f>VLOOKUP(Table1[[#This Row],[Imam]],Table35[#All],2,FALSE)</f>
        <v>081324698218</v>
      </c>
      <c r="F26" s="3" t="s">
        <v>24</v>
      </c>
      <c r="G26" t="s">
        <v>17</v>
      </c>
      <c r="H26" t="s">
        <v>130</v>
      </c>
      <c r="J26" t="s">
        <v>127</v>
      </c>
    </row>
    <row r="27" spans="1:10">
      <c r="A27" s="5">
        <f t="shared" si="0"/>
        <v>22</v>
      </c>
      <c r="B27" s="13">
        <v>46092</v>
      </c>
      <c r="C27" t="s">
        <v>130</v>
      </c>
      <c r="D27" s="15" t="s">
        <v>143</v>
      </c>
      <c r="E27" s="37" t="str">
        <f>VLOOKUP(Table1[[#This Row],[Imam]],Table35[#All],2,FALSE)</f>
        <v>085156952623</v>
      </c>
      <c r="F27" s="3" t="s">
        <v>46</v>
      </c>
      <c r="G27" t="s">
        <v>92</v>
      </c>
      <c r="H27" t="s">
        <v>132</v>
      </c>
    </row>
    <row r="28" spans="1:10">
      <c r="A28" s="5">
        <f t="shared" si="0"/>
        <v>23</v>
      </c>
      <c r="B28" s="14">
        <v>46093</v>
      </c>
      <c r="C28" s="15" t="s">
        <v>146</v>
      </c>
      <c r="D28" s="15" t="s">
        <v>143</v>
      </c>
      <c r="E28" s="36" t="str">
        <f>VLOOKUP(Table1[[#This Row],[Imam]],Table35[#All],2,FALSE)</f>
        <v>081350170682</v>
      </c>
      <c r="F28" s="3" t="s">
        <v>33</v>
      </c>
      <c r="G28" t="s">
        <v>86</v>
      </c>
      <c r="H28" t="s">
        <v>53</v>
      </c>
    </row>
    <row r="29" spans="1:10">
      <c r="A29" s="5">
        <f t="shared" si="0"/>
        <v>24</v>
      </c>
      <c r="B29" s="14">
        <v>46094</v>
      </c>
      <c r="C29" t="s">
        <v>104</v>
      </c>
      <c r="D29" s="15" t="s">
        <v>143</v>
      </c>
      <c r="E29" s="36" t="str">
        <f>VLOOKUP(Table1[[#This Row],[Imam]],Table35[#All],2,FALSE)</f>
        <v>081341459342</v>
      </c>
      <c r="F29" s="3" t="s">
        <v>37</v>
      </c>
      <c r="G29" t="s">
        <v>45</v>
      </c>
      <c r="H29" t="s">
        <v>128</v>
      </c>
    </row>
    <row r="30" spans="1:10">
      <c r="A30" s="5">
        <f t="shared" si="0"/>
        <v>25</v>
      </c>
      <c r="B30" s="14">
        <v>46095</v>
      </c>
      <c r="C30" t="s">
        <v>130</v>
      </c>
      <c r="D30" s="15" t="s">
        <v>143</v>
      </c>
      <c r="E30" s="36" t="str">
        <f>VLOOKUP(Table1[[#This Row],[Imam]],Table35[#All],2,FALSE)</f>
        <v>085156952623</v>
      </c>
      <c r="F30" s="3" t="s">
        <v>32</v>
      </c>
      <c r="G30" s="5" t="s">
        <v>85</v>
      </c>
      <c r="H30" t="s">
        <v>34</v>
      </c>
      <c r="J30" s="12"/>
    </row>
    <row r="31" spans="1:10">
      <c r="A31" s="5">
        <f t="shared" si="0"/>
        <v>26</v>
      </c>
      <c r="B31" s="14">
        <v>46096</v>
      </c>
      <c r="C31" t="s">
        <v>124</v>
      </c>
      <c r="D31" s="15" t="s">
        <v>143</v>
      </c>
      <c r="E31" s="36" t="str">
        <f>VLOOKUP(Table1[[#This Row],[Imam]],Table35[#All],2,FALSE)</f>
        <v>085388898918</v>
      </c>
      <c r="F31" s="3" t="s">
        <v>30</v>
      </c>
      <c r="G31" t="s">
        <v>90</v>
      </c>
      <c r="H31" t="s">
        <v>71</v>
      </c>
    </row>
    <row r="32" spans="1:10">
      <c r="A32" s="5">
        <f t="shared" si="0"/>
        <v>27</v>
      </c>
      <c r="B32" s="14">
        <v>46097</v>
      </c>
      <c r="C32" s="12" t="s">
        <v>53</v>
      </c>
      <c r="D32" s="15" t="s">
        <v>143</v>
      </c>
      <c r="E32" s="36" t="str">
        <f>VLOOKUP(Table1[[#This Row],[Imam]],Table35[#All],2,FALSE)</f>
        <v>082123226368</v>
      </c>
      <c r="F32" s="3" t="s">
        <v>42</v>
      </c>
      <c r="G32" t="s">
        <v>89</v>
      </c>
      <c r="H32" t="s">
        <v>63</v>
      </c>
    </row>
    <row r="33" spans="1:11">
      <c r="A33" s="5">
        <f t="shared" si="0"/>
        <v>28</v>
      </c>
      <c r="B33" s="14">
        <v>46098</v>
      </c>
      <c r="C33" t="s">
        <v>101</v>
      </c>
      <c r="D33" t="s">
        <v>143</v>
      </c>
      <c r="E33" s="36" t="str">
        <f>VLOOKUP(Table1[[#This Row],[Imam]],Table35[#All],2,FALSE)</f>
        <v>082254991016</v>
      </c>
      <c r="F33" s="3" t="s">
        <v>51</v>
      </c>
      <c r="G33" t="s">
        <v>23</v>
      </c>
      <c r="H33" t="s">
        <v>124</v>
      </c>
    </row>
    <row r="34" spans="1:11">
      <c r="A34" s="5">
        <f t="shared" si="0"/>
        <v>29</v>
      </c>
      <c r="B34" s="14">
        <v>46099</v>
      </c>
      <c r="C34" t="s">
        <v>71</v>
      </c>
      <c r="D34" s="15" t="s">
        <v>143</v>
      </c>
      <c r="E34" s="36" t="str">
        <f>VLOOKUP(Table1[[#This Row],[Imam]],Table35[#All],2,FALSE)</f>
        <v>082274180206</v>
      </c>
      <c r="F34" s="3" t="s">
        <v>51</v>
      </c>
      <c r="G34" t="s">
        <v>23</v>
      </c>
      <c r="H34" t="s">
        <v>101</v>
      </c>
    </row>
    <row r="35" spans="1:11">
      <c r="F35" s="3" t="s">
        <v>46</v>
      </c>
      <c r="G35" t="s">
        <v>92</v>
      </c>
    </row>
    <row r="36" spans="1:11">
      <c r="B36" s="26" t="s">
        <v>142</v>
      </c>
      <c r="C36" s="26"/>
      <c r="D36" s="26"/>
      <c r="E36" s="26"/>
      <c r="F36" s="26"/>
      <c r="G36" s="26"/>
      <c r="H36" s="26"/>
      <c r="I36" s="26"/>
      <c r="J36" s="26"/>
    </row>
    <row r="38" spans="1:11">
      <c r="F38" t="s">
        <v>167</v>
      </c>
      <c r="G38" t="s">
        <v>140</v>
      </c>
      <c r="H38" s="38" t="s">
        <v>169</v>
      </c>
    </row>
    <row r="39" spans="1:11">
      <c r="F39" s="30" t="s">
        <v>129</v>
      </c>
      <c r="G39" s="31" t="s">
        <v>147</v>
      </c>
      <c r="H39">
        <f>COUNTIF(Table1[Imam],Table35[[#This Row],[Nama]])</f>
        <v>1</v>
      </c>
      <c r="J39" s="3" t="s">
        <v>19</v>
      </c>
      <c r="K39" t="s">
        <v>38</v>
      </c>
    </row>
    <row r="40" spans="1:11">
      <c r="C40" s="30"/>
      <c r="D40" s="31"/>
      <c r="F40" s="30" t="s">
        <v>104</v>
      </c>
      <c r="G40" s="31" t="s">
        <v>149</v>
      </c>
      <c r="H40">
        <f>COUNTIF(Table1[Imam],Table35[[#This Row],[Nama]])</f>
        <v>2</v>
      </c>
      <c r="J40" s="3" t="s">
        <v>24</v>
      </c>
      <c r="K40" t="s">
        <v>17</v>
      </c>
    </row>
    <row r="41" spans="1:11">
      <c r="C41" s="29"/>
      <c r="D41" s="32"/>
      <c r="F41" s="18" t="s">
        <v>146</v>
      </c>
      <c r="G41" s="31" t="s">
        <v>166</v>
      </c>
      <c r="H41">
        <f>COUNTIF(Table1[Imam],Table35[[#This Row],[Nama]])</f>
        <v>1</v>
      </c>
      <c r="J41" s="3" t="s">
        <v>29</v>
      </c>
      <c r="K41" t="s">
        <v>84</v>
      </c>
    </row>
    <row r="42" spans="1:11">
      <c r="C42" s="30"/>
      <c r="D42" s="31"/>
      <c r="F42" s="29" t="s">
        <v>130</v>
      </c>
      <c r="G42" s="33" t="s">
        <v>168</v>
      </c>
      <c r="H42">
        <f>COUNTIF(Table1[Imam],Table35[[#This Row],[Nama]])</f>
        <v>3</v>
      </c>
      <c r="J42" s="3" t="s">
        <v>32</v>
      </c>
      <c r="K42" s="5" t="s">
        <v>85</v>
      </c>
    </row>
    <row r="43" spans="1:11">
      <c r="C43" s="29"/>
      <c r="D43" s="33"/>
      <c r="F43" s="30" t="s">
        <v>124</v>
      </c>
      <c r="G43" s="31" t="s">
        <v>151</v>
      </c>
      <c r="H43">
        <f>COUNTIF(Table1[Imam],Table35[[#This Row],[Nama]])</f>
        <v>2</v>
      </c>
      <c r="J43" s="3" t="s">
        <v>33</v>
      </c>
      <c r="K43" t="s">
        <v>86</v>
      </c>
    </row>
    <row r="44" spans="1:11">
      <c r="C44" s="30"/>
      <c r="D44" s="31"/>
      <c r="F44" s="29" t="s">
        <v>131</v>
      </c>
      <c r="G44" s="32" t="s">
        <v>152</v>
      </c>
      <c r="H44">
        <f>COUNTIF(Table1[Imam],Table35[[#This Row],[Nama]])</f>
        <v>1</v>
      </c>
      <c r="J44" s="3" t="s">
        <v>37</v>
      </c>
      <c r="K44" t="s">
        <v>45</v>
      </c>
    </row>
    <row r="45" spans="1:11">
      <c r="C45" s="29"/>
      <c r="D45" s="32"/>
      <c r="F45" s="30" t="s">
        <v>71</v>
      </c>
      <c r="G45" s="31" t="s">
        <v>153</v>
      </c>
      <c r="H45">
        <f>COUNTIF(Table1[Imam],Table35[[#This Row],[Nama]])</f>
        <v>2</v>
      </c>
      <c r="J45" s="3" t="s">
        <v>30</v>
      </c>
      <c r="K45" t="s">
        <v>87</v>
      </c>
    </row>
    <row r="46" spans="1:11">
      <c r="C46" s="30"/>
      <c r="D46" s="31"/>
      <c r="F46" s="29" t="s">
        <v>101</v>
      </c>
      <c r="G46" s="32" t="s">
        <v>154</v>
      </c>
      <c r="H46">
        <f>COUNTIF(Table1[Imam],Table35[[#This Row],[Nama]])</f>
        <v>2</v>
      </c>
      <c r="J46" s="3" t="s">
        <v>57</v>
      </c>
      <c r="K46" t="s">
        <v>88</v>
      </c>
    </row>
    <row r="47" spans="1:11">
      <c r="C47" s="29"/>
      <c r="D47" s="32"/>
      <c r="F47" s="30" t="s">
        <v>123</v>
      </c>
      <c r="G47" s="31" t="s">
        <v>155</v>
      </c>
      <c r="H47">
        <f>COUNTIF(Table1[Imam],Table35[[#This Row],[Nama]])</f>
        <v>2</v>
      </c>
      <c r="J47" s="3" t="s">
        <v>43</v>
      </c>
      <c r="K47" t="s">
        <v>72</v>
      </c>
    </row>
    <row r="48" spans="1:11">
      <c r="C48" s="30"/>
      <c r="D48" s="31"/>
      <c r="F48" s="29" t="s">
        <v>53</v>
      </c>
      <c r="G48" s="32" t="s">
        <v>156</v>
      </c>
      <c r="H48">
        <f>COUNTIF(Table1[Imam],Table35[[#This Row],[Nama]])</f>
        <v>2</v>
      </c>
      <c r="J48" s="3" t="s">
        <v>42</v>
      </c>
      <c r="K48" t="s">
        <v>89</v>
      </c>
    </row>
    <row r="49" spans="3:11">
      <c r="C49" s="29"/>
      <c r="D49" s="32"/>
      <c r="F49" s="30" t="s">
        <v>132</v>
      </c>
      <c r="G49" s="31" t="s">
        <v>150</v>
      </c>
      <c r="H49">
        <f>COUNTIF(Table1[Imam],Table35[[#This Row],[Nama]])</f>
        <v>1</v>
      </c>
      <c r="J49" s="3" t="s">
        <v>30</v>
      </c>
      <c r="K49" t="s">
        <v>90</v>
      </c>
    </row>
    <row r="50" spans="3:11">
      <c r="C50" s="30"/>
      <c r="D50" s="31"/>
      <c r="F50" s="29" t="s">
        <v>63</v>
      </c>
      <c r="G50" s="32" t="s">
        <v>157</v>
      </c>
      <c r="H50">
        <f>COUNTIF(Table1[Imam],Table35[[#This Row],[Nama]])</f>
        <v>1</v>
      </c>
      <c r="J50" s="3" t="s">
        <v>43</v>
      </c>
      <c r="K50" t="s">
        <v>72</v>
      </c>
    </row>
    <row r="51" spans="3:11">
      <c r="C51" s="29"/>
      <c r="D51" s="32"/>
      <c r="F51" s="30" t="s">
        <v>141</v>
      </c>
      <c r="G51" s="31" t="s">
        <v>158</v>
      </c>
      <c r="H51">
        <f>COUNTIF(Table1[Imam],Table35[[#This Row],[Nama]])</f>
        <v>1</v>
      </c>
      <c r="J51" s="3" t="s">
        <v>52</v>
      </c>
      <c r="K51" t="s">
        <v>49</v>
      </c>
    </row>
    <row r="52" spans="3:11">
      <c r="C52" s="30"/>
      <c r="D52" s="31"/>
      <c r="F52" s="29" t="s">
        <v>48</v>
      </c>
      <c r="G52" s="32" t="s">
        <v>159</v>
      </c>
      <c r="H52">
        <f>COUNTIF(Table1[Imam],Table35[[#This Row],[Nama]])</f>
        <v>1</v>
      </c>
      <c r="J52" s="3" t="s">
        <v>32</v>
      </c>
      <c r="K52" s="5" t="s">
        <v>85</v>
      </c>
    </row>
    <row r="53" spans="3:11">
      <c r="C53" s="29"/>
      <c r="D53" s="32"/>
      <c r="F53" s="29" t="s">
        <v>34</v>
      </c>
      <c r="G53" s="32" t="s">
        <v>162</v>
      </c>
      <c r="H53">
        <f>COUNTIF(Table1[Imam],Table35[[#This Row],[Nama]])</f>
        <v>1</v>
      </c>
      <c r="J53" s="3" t="s">
        <v>30</v>
      </c>
      <c r="K53" t="s">
        <v>90</v>
      </c>
    </row>
    <row r="54" spans="3:11">
      <c r="C54" s="29"/>
      <c r="D54" s="32"/>
      <c r="F54" s="30" t="s">
        <v>128</v>
      </c>
      <c r="G54" s="31" t="s">
        <v>163</v>
      </c>
      <c r="H54">
        <f>COUNTIF(Table1[Imam],Table35[[#This Row],[Nama]])</f>
        <v>1</v>
      </c>
      <c r="J54" s="3" t="s">
        <v>55</v>
      </c>
      <c r="K54" t="s">
        <v>35</v>
      </c>
    </row>
    <row r="55" spans="3:11">
      <c r="C55" s="29"/>
      <c r="D55" s="32"/>
      <c r="F55" s="30" t="s">
        <v>135</v>
      </c>
      <c r="G55" s="31" t="s">
        <v>165</v>
      </c>
      <c r="H55">
        <f>COUNTIF(Table1[Imam],Table35[[#This Row],[Nama]])</f>
        <v>3</v>
      </c>
      <c r="J55" s="3" t="s">
        <v>56</v>
      </c>
      <c r="K55" t="s">
        <v>91</v>
      </c>
    </row>
    <row r="56" spans="3:11">
      <c r="C56" s="30"/>
      <c r="D56" s="31"/>
      <c r="F56" s="29" t="s">
        <v>127</v>
      </c>
      <c r="G56" s="32" t="s">
        <v>164</v>
      </c>
      <c r="H56">
        <f>COUNTIF(Table1[Imam],Table35[[#This Row],[Nama]])</f>
        <v>2</v>
      </c>
      <c r="J56" s="3" t="s">
        <v>51</v>
      </c>
      <c r="K56" t="s">
        <v>23</v>
      </c>
    </row>
    <row r="57" spans="3:11">
      <c r="C57" s="29"/>
      <c r="D57" s="32"/>
      <c r="J57" s="3" t="s">
        <v>46</v>
      </c>
      <c r="K57" t="s">
        <v>92</v>
      </c>
    </row>
    <row r="58" spans="3:11">
      <c r="C58" s="30"/>
      <c r="D58" s="31"/>
      <c r="J58" s="3" t="s">
        <v>19</v>
      </c>
      <c r="K58" t="s">
        <v>38</v>
      </c>
    </row>
    <row r="59" spans="3:11">
      <c r="C59" s="27"/>
      <c r="D59" s="33"/>
      <c r="J59" s="3" t="s">
        <v>24</v>
      </c>
      <c r="K59" t="s">
        <v>17</v>
      </c>
    </row>
    <row r="60" spans="3:11">
      <c r="C60" s="18"/>
      <c r="D60" s="31"/>
      <c r="J60" s="3" t="s">
        <v>46</v>
      </c>
      <c r="K60" t="s">
        <v>92</v>
      </c>
    </row>
    <row r="61" spans="3:11">
      <c r="C61" s="27"/>
      <c r="D61" s="32"/>
      <c r="J61" s="3" t="s">
        <v>33</v>
      </c>
      <c r="K61" t="s">
        <v>86</v>
      </c>
    </row>
    <row r="62" spans="3:11">
      <c r="C62" s="28"/>
      <c r="D62" s="31"/>
      <c r="J62" s="3" t="s">
        <v>37</v>
      </c>
      <c r="K62" t="s">
        <v>45</v>
      </c>
    </row>
    <row r="63" spans="3:11">
      <c r="C63" s="27"/>
      <c r="D63" s="32"/>
      <c r="J63" s="3" t="s">
        <v>32</v>
      </c>
      <c r="K63" s="5" t="s">
        <v>85</v>
      </c>
    </row>
    <row r="64" spans="3:11">
      <c r="C64" s="30"/>
      <c r="D64" s="31"/>
      <c r="J64" s="3" t="s">
        <v>30</v>
      </c>
      <c r="K64" t="s">
        <v>90</v>
      </c>
    </row>
    <row r="65" spans="3:11">
      <c r="C65" s="27"/>
      <c r="D65" s="32"/>
      <c r="J65" s="3" t="s">
        <v>42</v>
      </c>
      <c r="K65" t="s">
        <v>89</v>
      </c>
    </row>
    <row r="66" spans="3:11">
      <c r="C66" s="28"/>
      <c r="D66" s="31"/>
      <c r="J66" s="3" t="s">
        <v>51</v>
      </c>
      <c r="K66" t="s">
        <v>23</v>
      </c>
    </row>
    <row r="67" spans="3:11">
      <c r="J67" s="3" t="s">
        <v>51</v>
      </c>
      <c r="K67" t="s">
        <v>23</v>
      </c>
    </row>
    <row r="68" spans="3:11">
      <c r="J68" s="3" t="s">
        <v>46</v>
      </c>
      <c r="K68" t="s">
        <v>92</v>
      </c>
    </row>
    <row r="69" spans="3:11">
      <c r="D69" s="11"/>
    </row>
  </sheetData>
  <sortState xmlns:xlrd2="http://schemas.microsoft.com/office/spreadsheetml/2017/richdata2" ref="J6:J27">
    <sortCondition ref="J6:J27"/>
  </sortState>
  <mergeCells count="3">
    <mergeCell ref="A2:D2"/>
    <mergeCell ref="A3:D3"/>
    <mergeCell ref="B36:J36"/>
  </mergeCells>
  <conditionalFormatting sqref="C6:C34 C40:C66">
    <cfRule type="cellIs" dxfId="5" priority="4" operator="equal">
      <formula>IF(C6="", TRUE, FALSE)</formula>
    </cfRule>
  </conditionalFormatting>
  <conditionalFormatting sqref="H6:H34">
    <cfRule type="cellIs" dxfId="4" priority="5" operator="equal">
      <formula>C6</formula>
    </cfRule>
  </conditionalFormatting>
  <conditionalFormatting sqref="F39:F56">
    <cfRule type="cellIs" dxfId="3" priority="2" operator="equal">
      <formula>IF(F39="", TRUE, FALSE)</formula>
    </cfRule>
  </conditionalFormatting>
  <conditionalFormatting sqref="H39:H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73B5-9BD6-450E-BCDE-877D76BB9F3C}">
  <dimension ref="A1:B19"/>
  <sheetViews>
    <sheetView workbookViewId="0">
      <selection sqref="A1:B19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t="s">
        <v>167</v>
      </c>
      <c r="B1" t="s">
        <v>140</v>
      </c>
    </row>
    <row r="2" spans="1:2">
      <c r="A2" s="30" t="s">
        <v>129</v>
      </c>
      <c r="B2" s="31" t="s">
        <v>147</v>
      </c>
    </row>
    <row r="3" spans="1:2">
      <c r="A3" s="30" t="s">
        <v>104</v>
      </c>
      <c r="B3" s="31" t="s">
        <v>149</v>
      </c>
    </row>
    <row r="4" spans="1:2">
      <c r="A4" s="18" t="s">
        <v>146</v>
      </c>
      <c r="B4" s="31" t="s">
        <v>166</v>
      </c>
    </row>
    <row r="5" spans="1:2">
      <c r="A5" s="29" t="s">
        <v>130</v>
      </c>
      <c r="B5" s="33" t="s">
        <v>168</v>
      </c>
    </row>
    <row r="6" spans="1:2">
      <c r="A6" s="30" t="s">
        <v>124</v>
      </c>
      <c r="B6" s="31" t="s">
        <v>151</v>
      </c>
    </row>
    <row r="7" spans="1:2">
      <c r="A7" s="29" t="s">
        <v>131</v>
      </c>
      <c r="B7" s="32" t="s">
        <v>152</v>
      </c>
    </row>
    <row r="8" spans="1:2">
      <c r="A8" s="30" t="s">
        <v>71</v>
      </c>
      <c r="B8" s="31" t="s">
        <v>153</v>
      </c>
    </row>
    <row r="9" spans="1:2">
      <c r="A9" s="29" t="s">
        <v>101</v>
      </c>
      <c r="B9" s="32" t="s">
        <v>154</v>
      </c>
    </row>
    <row r="10" spans="1:2">
      <c r="A10" s="30" t="s">
        <v>123</v>
      </c>
      <c r="B10" s="31" t="s">
        <v>155</v>
      </c>
    </row>
    <row r="11" spans="1:2">
      <c r="A11" s="29" t="s">
        <v>53</v>
      </c>
      <c r="B11" s="32" t="s">
        <v>156</v>
      </c>
    </row>
    <row r="12" spans="1:2">
      <c r="A12" s="30" t="s">
        <v>132</v>
      </c>
      <c r="B12" s="31" t="s">
        <v>150</v>
      </c>
    </row>
    <row r="13" spans="1:2">
      <c r="A13" s="29" t="s">
        <v>63</v>
      </c>
      <c r="B13" s="32" t="s">
        <v>157</v>
      </c>
    </row>
    <row r="14" spans="1:2">
      <c r="A14" s="30" t="s">
        <v>141</v>
      </c>
      <c r="B14" s="31" t="s">
        <v>158</v>
      </c>
    </row>
    <row r="15" spans="1:2">
      <c r="A15" s="29" t="s">
        <v>48</v>
      </c>
      <c r="B15" s="32" t="s">
        <v>159</v>
      </c>
    </row>
    <row r="16" spans="1:2">
      <c r="A16" s="29" t="s">
        <v>34</v>
      </c>
      <c r="B16" s="32" t="s">
        <v>162</v>
      </c>
    </row>
    <row r="17" spans="1:2">
      <c r="A17" s="30" t="s">
        <v>128</v>
      </c>
      <c r="B17" s="31" t="s">
        <v>163</v>
      </c>
    </row>
    <row r="18" spans="1:2">
      <c r="A18" s="30" t="s">
        <v>135</v>
      </c>
      <c r="B18" s="31" t="s">
        <v>165</v>
      </c>
    </row>
    <row r="19" spans="1:2">
      <c r="A19" s="29" t="s">
        <v>127</v>
      </c>
      <c r="B19" s="32" t="s">
        <v>164</v>
      </c>
    </row>
  </sheetData>
  <conditionalFormatting sqref="A2:A19">
    <cfRule type="cellIs" dxfId="11" priority="1" operator="equal">
      <formula>IF(A2="", TRUE, FALSE)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6" t="s">
        <v>129</v>
      </c>
      <c r="B2" s="19" t="s">
        <v>147</v>
      </c>
    </row>
    <row r="3" spans="1:2">
      <c r="A3" s="16" t="s">
        <v>104</v>
      </c>
      <c r="B3" s="19" t="s">
        <v>149</v>
      </c>
    </row>
    <row r="4" spans="1:2">
      <c r="A4" s="18" t="s">
        <v>146</v>
      </c>
      <c r="B4" s="19" t="s">
        <v>166</v>
      </c>
    </row>
    <row r="5" spans="1:2">
      <c r="A5" s="16" t="s">
        <v>130</v>
      </c>
      <c r="B5" s="19" t="s">
        <v>150</v>
      </c>
    </row>
    <row r="6" spans="1:2">
      <c r="A6" s="16" t="s">
        <v>124</v>
      </c>
      <c r="B6" s="19" t="s">
        <v>151</v>
      </c>
    </row>
    <row r="7" spans="1:2">
      <c r="A7" s="17" t="s">
        <v>131</v>
      </c>
      <c r="B7" s="20" t="s">
        <v>152</v>
      </c>
    </row>
    <row r="8" spans="1:2">
      <c r="A8" s="16" t="s">
        <v>71</v>
      </c>
      <c r="B8" s="19" t="s">
        <v>153</v>
      </c>
    </row>
    <row r="9" spans="1:2">
      <c r="A9" s="17" t="s">
        <v>101</v>
      </c>
      <c r="B9" s="20" t="s">
        <v>154</v>
      </c>
    </row>
    <row r="10" spans="1:2">
      <c r="A10" s="16" t="s">
        <v>123</v>
      </c>
      <c r="B10" s="19" t="s">
        <v>155</v>
      </c>
    </row>
    <row r="11" spans="1:2">
      <c r="A11" s="17" t="s">
        <v>53</v>
      </c>
      <c r="B11" s="20" t="s">
        <v>156</v>
      </c>
    </row>
    <row r="12" spans="1:2">
      <c r="A12" s="16" t="s">
        <v>132</v>
      </c>
      <c r="B12" s="19" t="s">
        <v>150</v>
      </c>
    </row>
    <row r="13" spans="1:2">
      <c r="A13" s="17" t="s">
        <v>63</v>
      </c>
      <c r="B13" s="20" t="s">
        <v>157</v>
      </c>
    </row>
    <row r="14" spans="1:2">
      <c r="A14" s="16" t="s">
        <v>141</v>
      </c>
      <c r="B14" s="19" t="s">
        <v>158</v>
      </c>
    </row>
    <row r="15" spans="1:2">
      <c r="A15" s="17" t="s">
        <v>48</v>
      </c>
      <c r="B15" s="20" t="s">
        <v>159</v>
      </c>
    </row>
    <row r="16" spans="1:2">
      <c r="A16" s="16" t="s">
        <v>125</v>
      </c>
      <c r="B16" s="19" t="s">
        <v>160</v>
      </c>
    </row>
    <row r="17" spans="1:2">
      <c r="A17" s="16" t="s">
        <v>126</v>
      </c>
      <c r="B17" s="19" t="s">
        <v>161</v>
      </c>
    </row>
    <row r="18" spans="1:2">
      <c r="A18" s="16" t="s">
        <v>144</v>
      </c>
      <c r="B18" s="19" t="s">
        <v>148</v>
      </c>
    </row>
    <row r="19" spans="1:2">
      <c r="A19" s="17" t="s">
        <v>34</v>
      </c>
      <c r="B19" s="20" t="s">
        <v>162</v>
      </c>
    </row>
    <row r="20" spans="1:2">
      <c r="A20" s="16" t="s">
        <v>128</v>
      </c>
      <c r="B20" s="19" t="s">
        <v>163</v>
      </c>
    </row>
    <row r="21" spans="1:2">
      <c r="A21" s="16" t="s">
        <v>135</v>
      </c>
      <c r="B21" s="19" t="s">
        <v>165</v>
      </c>
    </row>
    <row r="22" spans="1:2">
      <c r="A22" s="23" t="s">
        <v>127</v>
      </c>
      <c r="B22" s="24" t="s">
        <v>164</v>
      </c>
    </row>
    <row r="23" spans="1:2">
      <c r="A23" s="16"/>
      <c r="B23" s="19"/>
    </row>
    <row r="24" spans="1:2">
      <c r="A24" s="16"/>
      <c r="B24" s="19"/>
    </row>
    <row r="25" spans="1:2">
      <c r="A25" s="16"/>
      <c r="B25" s="19"/>
    </row>
    <row r="26" spans="1:2">
      <c r="A26" s="17"/>
      <c r="B26" s="20"/>
    </row>
    <row r="27" spans="1:2">
      <c r="A27" s="16"/>
      <c r="B27" s="19"/>
    </row>
    <row r="28" spans="1:2">
      <c r="A28" s="16"/>
      <c r="B28" s="19"/>
    </row>
    <row r="29" spans="1:2">
      <c r="A29" s="16"/>
      <c r="B29" s="19"/>
    </row>
    <row r="30" spans="1:2">
      <c r="A30" s="21"/>
      <c r="B30" s="2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25" t="s">
        <v>0</v>
      </c>
      <c r="B1" s="25"/>
      <c r="C1" s="25"/>
      <c r="D1" s="25"/>
      <c r="E1" s="1"/>
      <c r="F1" s="1"/>
      <c r="G1" s="1"/>
      <c r="H1" s="1"/>
      <c r="I1" s="1"/>
      <c r="L1" t="s">
        <v>1</v>
      </c>
    </row>
    <row r="2" spans="1:13">
      <c r="A2" s="25" t="s">
        <v>2</v>
      </c>
      <c r="B2" s="25"/>
      <c r="C2" s="25"/>
      <c r="D2" s="25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10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25" t="s">
        <v>0</v>
      </c>
      <c r="B1" s="25"/>
      <c r="C1" s="25"/>
      <c r="D1" s="1"/>
      <c r="E1" s="1"/>
      <c r="F1" s="1"/>
      <c r="G1" s="1"/>
      <c r="J1" t="s">
        <v>1</v>
      </c>
    </row>
    <row r="2" spans="1:11">
      <c r="A2" s="25" t="s">
        <v>2</v>
      </c>
      <c r="B2" s="25"/>
      <c r="C2" s="25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Pak Gatot</vt:lpstr>
      <vt:lpstr>Sheet2</vt:lpstr>
      <vt:lpstr>Nomor WA</vt:lpstr>
      <vt:lpstr>DT</vt:lpstr>
      <vt:lpstr>Olah - Pak Gatot</vt:lpstr>
      <vt:lpstr>Sheet1</vt:lpstr>
      <vt:lpstr>Olah - Santri</vt:lpstr>
      <vt:lpstr>DT!Print_Area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Muhammad Zaini</cp:lastModifiedBy>
  <dcterms:created xsi:type="dcterms:W3CDTF">2023-04-03T19:55:00Z</dcterms:created>
  <dcterms:modified xsi:type="dcterms:W3CDTF">2025-12-20T03:51:49Z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