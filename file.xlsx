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0490" windowHeight="7875" activeTab="1"/>
  </bookViews>
  <sheets>
    <sheet name="DT" sheetId="1" r:id="rId1"/>
    <sheet name="Pak Gatot" sheetId="2" r:id="rId2"/>
  </sheets>
  <calcPr calcId="144525"/>
</workbook>
</file>

<file path=xl/sharedStrings.xml><?xml version="1.0" encoding="utf-8"?>
<sst xmlns="http://schemas.openxmlformats.org/spreadsheetml/2006/main" count="94" uniqueCount="54">
  <si>
    <t>Jadwal Petugas Kegiatan Tarawih Ramadhan 1446 H</t>
  </si>
  <si>
    <t>Santri</t>
  </si>
  <si>
    <t>Masjid Daarut Thoyyibah, Loa Bakung</t>
  </si>
  <si>
    <t>Raffa</t>
  </si>
  <si>
    <t>Ananda Raffa</t>
  </si>
  <si>
    <t>Akmal</t>
  </si>
  <si>
    <t>Ananda Akmal</t>
  </si>
  <si>
    <t>Ramadhan ke</t>
  </si>
  <si>
    <t>Tanggal</t>
  </si>
  <si>
    <t>Kultum</t>
  </si>
  <si>
    <t>Imam</t>
  </si>
  <si>
    <t>Idris</t>
  </si>
  <si>
    <t>Ananda Idris</t>
  </si>
  <si>
    <t>Ustadz Andi Iskandar</t>
  </si>
  <si>
    <t>sudah oke</t>
  </si>
  <si>
    <t>Daffa</t>
  </si>
  <si>
    <t>Ananda Daffa</t>
  </si>
  <si>
    <t>Ustadz Yasser Hamzah</t>
  </si>
  <si>
    <t>Kholis</t>
  </si>
  <si>
    <t>Ananda Kholis</t>
  </si>
  <si>
    <t>Ustadz Miftahul Hadi</t>
  </si>
  <si>
    <t>Hanif</t>
  </si>
  <si>
    <t>Ananda Hanif</t>
  </si>
  <si>
    <t>Ustadz Zaky</t>
  </si>
  <si>
    <t>Ustadz Wahidi Rahman</t>
  </si>
  <si>
    <t>Ustadz Aslam Abu Hanifah</t>
  </si>
  <si>
    <t>Ustadz Chairid Daha</t>
  </si>
  <si>
    <t>sudah dikabarkan</t>
  </si>
  <si>
    <t>Ustadz Rezky</t>
  </si>
  <si>
    <t>Ustadz Muhammad Asmuni</t>
  </si>
  <si>
    <t>Ustadz Iman</t>
  </si>
  <si>
    <t>Ustadz Ngalal</t>
  </si>
  <si>
    <t>Ustadz Imanuddin</t>
  </si>
  <si>
    <t>(baru sekali)</t>
  </si>
  <si>
    <t>Ustadz Latip</t>
  </si>
  <si>
    <t>Abdul Rifai 3x harinya Senin atau kamis</t>
  </si>
  <si>
    <t>Musholla Baitul Hilmi, Jalan Monas</t>
  </si>
  <si>
    <t>Abdul Latip</t>
  </si>
  <si>
    <t>Andi Iskandar</t>
  </si>
  <si>
    <t>Aswan</t>
  </si>
  <si>
    <t>Abdul Rifai</t>
  </si>
  <si>
    <t>Budi Prabowo</t>
  </si>
  <si>
    <t>Chairid Daha</t>
  </si>
  <si>
    <t>Ibrahim</t>
  </si>
  <si>
    <t>Imanuddin</t>
  </si>
  <si>
    <t>Komatsu Kumala Hastin</t>
  </si>
  <si>
    <t>Lukman</t>
  </si>
  <si>
    <t>Miftahul Hadi</t>
  </si>
  <si>
    <t>Rezky Adistya</t>
  </si>
  <si>
    <t>Wachyu</t>
  </si>
  <si>
    <t>Wahidi Rahman</t>
  </si>
  <si>
    <t>Yuda</t>
  </si>
  <si>
    <t>Zakky</t>
  </si>
  <si>
    <t>Zen</t>
  </si>
</sst>
</file>

<file path=xl/styles.xml><?xml version="1.0" encoding="utf-8"?>
<styleSheet xmlns="http://schemas.openxmlformats.org/spreadsheetml/2006/main">
  <numFmts count="5">
    <numFmt numFmtId="176" formatCode="[$-421]dddd&quot;, &quot;dd\ mmmm\ yyyy"/>
    <numFmt numFmtId="177" formatCode="_-&quot;Rp&quot;* #,##0.00_-;\-&quot;Rp&quot;* #,##0.00_-;_-&quot;Rp&quot;* &quot;-&quot;??_-;_-@_-"/>
    <numFmt numFmtId="178" formatCode="_(* #,##0_);_(* \(#,##0\);_(* &quot;-&quot;_);_(@_)"/>
    <numFmt numFmtId="179" formatCode="_-&quot;Rp&quot;* #,##0_-;\-&quot;Rp&quot;* #,##0_-;_-&quot;Rp&quot;* &quot;-&quot;??_-;_-@_-"/>
    <numFmt numFmtId="180" formatCode="_(* #,##0.00_);_(* \(#,##0.00\);_(* &quot;-&quot;??_);_(@_)"/>
  </numFmts>
  <fonts count="21">
    <font>
      <sz val="11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theme="1"/>
      <name val="Calibri"/>
      <charset val="0"/>
      <scheme val="minor"/>
    </font>
    <font>
      <b/>
      <sz val="13"/>
      <color theme="3"/>
      <name val="Calibri"/>
      <charset val="134"/>
      <scheme val="minor"/>
    </font>
    <font>
      <u/>
      <sz val="11"/>
      <color rgb="FF80008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sz val="11"/>
      <color rgb="FF006100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FA7D00"/>
      <name val="Calibri"/>
      <charset val="0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sz val="11"/>
      <color theme="0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sz val="11"/>
      <color rgb="FFFF00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FA7D00"/>
      <name val="Calibri"/>
      <charset val="0"/>
      <scheme val="minor"/>
    </font>
    <font>
      <sz val="11"/>
      <color rgb="FF9C6500"/>
      <name val="Calibri"/>
      <charset val="0"/>
      <scheme val="minor"/>
    </font>
    <font>
      <b/>
      <sz val="11"/>
      <color theme="1"/>
      <name val="Calibri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14" fillId="33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14" fillId="23" borderId="0" applyNumberFormat="0" applyBorder="0" applyAlignment="0" applyProtection="0">
      <alignment vertical="center"/>
    </xf>
    <xf numFmtId="0" fontId="14" fillId="24" borderId="0" applyNumberFormat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4" fillId="27" borderId="0" applyNumberFormat="0" applyBorder="0" applyAlignment="0" applyProtection="0">
      <alignment vertical="center"/>
    </xf>
    <xf numFmtId="0" fontId="14" fillId="16" borderId="0" applyNumberFormat="0" applyBorder="0" applyAlignment="0" applyProtection="0">
      <alignment vertical="center"/>
    </xf>
    <xf numFmtId="0" fontId="14" fillId="19" borderId="0" applyNumberFormat="0" applyBorder="0" applyAlignment="0" applyProtection="0">
      <alignment vertical="center"/>
    </xf>
    <xf numFmtId="0" fontId="4" fillId="21" borderId="0" applyNumberFormat="0" applyBorder="0" applyAlignment="0" applyProtection="0">
      <alignment vertical="center"/>
    </xf>
    <xf numFmtId="0" fontId="14" fillId="31" borderId="0" applyNumberFormat="0" applyBorder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32" borderId="0" applyNumberFormat="0" applyBorder="0" applyAlignment="0" applyProtection="0">
      <alignment vertical="center"/>
    </xf>
    <xf numFmtId="0" fontId="4" fillId="2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0" fontId="14" fillId="18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4" fillId="11" borderId="0" applyNumberFormat="0" applyBorder="0" applyAlignment="0" applyProtection="0">
      <alignment vertical="center"/>
    </xf>
    <xf numFmtId="0" fontId="14" fillId="14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4" fillId="13" borderId="0" applyNumberFormat="0" applyBorder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15" fillId="7" borderId="5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0" fillId="22" borderId="6" applyNumberFormat="0" applyFont="0" applyAlignment="0" applyProtection="0">
      <alignment vertical="center"/>
    </xf>
    <xf numFmtId="0" fontId="13" fillId="8" borderId="4" applyNumberForma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1" fillId="7" borderId="4" applyNumberForma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2" fillId="0" borderId="8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180" fontId="0" fillId="0" borderId="0" applyFont="0" applyFill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4" fillId="17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76" fontId="0" fillId="2" borderId="1" xfId="0" applyNumberForma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applyNumberFormat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NumberFormat="1">
      <alignment vertical="center"/>
    </xf>
  </cellXfs>
  <cellStyles count="49">
    <cellStyle name="Normal" xfId="0" builtinId="0"/>
    <cellStyle name="60% - Accent6" xfId="1" builtinId="52"/>
    <cellStyle name="40% - Accent6" xfId="2" builtinId="51"/>
    <cellStyle name="60% - Accent5" xfId="3" builtinId="48"/>
    <cellStyle name="Accent6" xfId="4" builtinId="49"/>
    <cellStyle name="40% - Accent5" xfId="5" builtinId="47"/>
    <cellStyle name="20% - Accent5" xfId="6" builtinId="46"/>
    <cellStyle name="60% - Accent4" xfId="7" builtinId="44"/>
    <cellStyle name="Accent5" xfId="8" builtinId="45"/>
    <cellStyle name="40% - Accent4" xfId="9" builtinId="43"/>
    <cellStyle name="Accent4" xfId="10" builtinId="41"/>
    <cellStyle name="Linked Cell" xfId="11" builtinId="24"/>
    <cellStyle name="40% - Accent3" xfId="12" builtinId="39"/>
    <cellStyle name="60% - Accent2" xfId="13" builtinId="36"/>
    <cellStyle name="Accent3" xfId="14" builtinId="37"/>
    <cellStyle name="40% - Accent2" xfId="15" builtinId="35"/>
    <cellStyle name="20% - Accent2" xfId="16" builtinId="34"/>
    <cellStyle name="Accent2" xfId="17" builtinId="33"/>
    <cellStyle name="40% - Accent1" xfId="18" builtinId="31"/>
    <cellStyle name="20% - Accent1" xfId="19" builtinId="30"/>
    <cellStyle name="Accent1" xfId="20" builtinId="29"/>
    <cellStyle name="Neutral" xfId="21" builtinId="28"/>
    <cellStyle name="60% - Accent1" xfId="22" builtinId="32"/>
    <cellStyle name="Bad" xfId="23" builtinId="27"/>
    <cellStyle name="20% - Accent4" xfId="24" builtinId="42"/>
    <cellStyle name="Total" xfId="25" builtinId="25"/>
    <cellStyle name="Output" xfId="26" builtinId="21"/>
    <cellStyle name="Currency" xfId="27" builtinId="4"/>
    <cellStyle name="20% - Accent3" xfId="28" builtinId="38"/>
    <cellStyle name="Note" xfId="29" builtinId="10"/>
    <cellStyle name="Input" xfId="30" builtinId="20"/>
    <cellStyle name="Heading 4" xfId="31" builtinId="19"/>
    <cellStyle name="Calculation" xfId="32" builtinId="22"/>
    <cellStyle name="Good" xfId="33" builtinId="26"/>
    <cellStyle name="Heading 3" xfId="34" builtinId="18"/>
    <cellStyle name="CExplanatory Text" xfId="35" builtinId="53"/>
    <cellStyle name="Heading 1" xfId="36" builtinId="16"/>
    <cellStyle name="Comma [0]" xfId="37" builtinId="6"/>
    <cellStyle name="20% - Accent6" xfId="38" builtinId="50"/>
    <cellStyle name="Title" xfId="39" builtinId="15"/>
    <cellStyle name="Currency [0]" xfId="40" builtinId="7"/>
    <cellStyle name="Warning Text" xfId="41" builtinId="11"/>
    <cellStyle name="Followed Hyperlink" xfId="42" builtinId="9"/>
    <cellStyle name="Heading 2" xfId="43" builtinId="17"/>
    <cellStyle name="Comma" xfId="44" builtinId="3"/>
    <cellStyle name="Check Cell" xfId="45" builtinId="23"/>
    <cellStyle name="60% - Accent3" xfId="46" builtinId="40"/>
    <cellStyle name="Percent" xfId="47" builtinId="5"/>
    <cellStyle name="Hyperlink" xfId="48" builtinId="8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16" workbookViewId="0">
      <selection activeCell="F37" sqref="F37"/>
    </sheetView>
  </sheetViews>
  <sheetFormatPr defaultColWidth="9.14074074074074" defaultRowHeight="15" outlineLevelCol="7"/>
  <cols>
    <col min="1" max="1" width="13.1111111111111" customWidth="1"/>
    <col min="2" max="2" width="20.7777777777778" customWidth="1"/>
    <col min="3" max="4" width="23.1111111111111" customWidth="1"/>
    <col min="5" max="5" width="15.4444444444444" customWidth="1"/>
    <col min="6" max="7" width="14.8888888888889" customWidth="1"/>
  </cols>
  <sheetData>
    <row r="1" spans="1:8">
      <c r="A1" s="1" t="s">
        <v>0</v>
      </c>
      <c r="B1" s="1"/>
      <c r="C1" s="1"/>
      <c r="D1" s="1"/>
      <c r="G1" t="s">
        <v>1</v>
      </c>
      <c r="H1" s="9"/>
    </row>
    <row r="2" spans="1:8">
      <c r="A2" s="1" t="s">
        <v>2</v>
      </c>
      <c r="B2" s="1"/>
      <c r="C2" s="1"/>
      <c r="D2" s="1"/>
      <c r="G2" t="s">
        <v>3</v>
      </c>
      <c r="H2" t="s">
        <v>4</v>
      </c>
    </row>
    <row r="3" spans="7:8">
      <c r="G3" t="s">
        <v>5</v>
      </c>
      <c r="H3" s="9" t="s">
        <v>6</v>
      </c>
    </row>
    <row r="4" spans="1:8">
      <c r="A4" s="2" t="s">
        <v>7</v>
      </c>
      <c r="B4" s="2" t="s">
        <v>8</v>
      </c>
      <c r="C4" s="2" t="s">
        <v>9</v>
      </c>
      <c r="D4" s="2" t="s">
        <v>10</v>
      </c>
      <c r="G4" t="s">
        <v>11</v>
      </c>
      <c r="H4" s="9" t="s">
        <v>12</v>
      </c>
    </row>
    <row r="5" spans="1:8">
      <c r="A5" s="3">
        <v>1</v>
      </c>
      <c r="B5" s="4">
        <v>45716</v>
      </c>
      <c r="C5" s="3" t="s">
        <v>13</v>
      </c>
      <c r="D5" s="3" t="str">
        <f>C5</f>
        <v>Ustadz Andi Iskandar</v>
      </c>
      <c r="E5" t="s">
        <v>14</v>
      </c>
      <c r="G5" t="s">
        <v>15</v>
      </c>
      <c r="H5" s="9" t="s">
        <v>16</v>
      </c>
    </row>
    <row r="6" spans="1:8">
      <c r="A6" s="5">
        <f t="shared" ref="A6:A33" si="0">A5+1</f>
        <v>2</v>
      </c>
      <c r="B6" s="6">
        <v>45717</v>
      </c>
      <c r="C6" s="5"/>
      <c r="D6" s="5" t="s">
        <v>17</v>
      </c>
      <c r="E6" t="s">
        <v>14</v>
      </c>
      <c r="G6" t="s">
        <v>18</v>
      </c>
      <c r="H6" s="9" t="s">
        <v>19</v>
      </c>
    </row>
    <row r="7" spans="1:8">
      <c r="A7" s="3">
        <f t="shared" si="0"/>
        <v>3</v>
      </c>
      <c r="B7" s="4">
        <v>45718</v>
      </c>
      <c r="C7" s="3" t="s">
        <v>20</v>
      </c>
      <c r="D7" s="3" t="str">
        <f>C7</f>
        <v>Ustadz Miftahul Hadi</v>
      </c>
      <c r="E7" t="s">
        <v>14</v>
      </c>
      <c r="G7" t="s">
        <v>21</v>
      </c>
      <c r="H7" s="9" t="s">
        <v>22</v>
      </c>
    </row>
    <row r="8" spans="1:4">
      <c r="A8" s="5">
        <f t="shared" si="0"/>
        <v>4</v>
      </c>
      <c r="B8" s="6">
        <v>45719</v>
      </c>
      <c r="C8" s="5"/>
      <c r="D8" s="5" t="s">
        <v>23</v>
      </c>
    </row>
    <row r="9" spans="1:5">
      <c r="A9" s="3">
        <f t="shared" si="0"/>
        <v>5</v>
      </c>
      <c r="B9" s="4">
        <v>45720</v>
      </c>
      <c r="C9" s="3" t="s">
        <v>24</v>
      </c>
      <c r="D9" s="3" t="str">
        <f>C9</f>
        <v>Ustadz Wahidi Rahman</v>
      </c>
      <c r="E9" t="s">
        <v>14</v>
      </c>
    </row>
    <row r="10" spans="1:4">
      <c r="A10" s="5">
        <f t="shared" si="0"/>
        <v>6</v>
      </c>
      <c r="B10" s="6">
        <v>45721</v>
      </c>
      <c r="C10" s="5"/>
      <c r="D10" s="7" t="s">
        <v>22</v>
      </c>
    </row>
    <row r="11" spans="1:5">
      <c r="A11" s="3">
        <f t="shared" si="0"/>
        <v>7</v>
      </c>
      <c r="B11" s="4">
        <v>45722</v>
      </c>
      <c r="C11" s="3" t="s">
        <v>25</v>
      </c>
      <c r="D11" s="3" t="str">
        <f>C11</f>
        <v>Ustadz Aslam Abu Hanifah</v>
      </c>
      <c r="E11" t="s">
        <v>14</v>
      </c>
    </row>
    <row r="12" spans="1:4">
      <c r="A12" s="5">
        <f t="shared" si="0"/>
        <v>8</v>
      </c>
      <c r="B12" s="6">
        <v>45723</v>
      </c>
      <c r="C12" s="5"/>
      <c r="D12" s="5" t="s">
        <v>4</v>
      </c>
    </row>
    <row r="13" spans="1:5">
      <c r="A13" s="3">
        <f t="shared" si="0"/>
        <v>9</v>
      </c>
      <c r="B13" s="4">
        <v>45724</v>
      </c>
      <c r="C13" s="3" t="s">
        <v>26</v>
      </c>
      <c r="D13" s="3" t="str">
        <f>C13</f>
        <v>Ustadz Chairid Daha</v>
      </c>
      <c r="E13" t="s">
        <v>27</v>
      </c>
    </row>
    <row r="14" spans="1:4">
      <c r="A14" s="5">
        <f t="shared" si="0"/>
        <v>10</v>
      </c>
      <c r="B14" s="6">
        <v>45725</v>
      </c>
      <c r="C14" s="5"/>
      <c r="D14" s="7" t="s">
        <v>6</v>
      </c>
    </row>
    <row r="15" spans="1:6">
      <c r="A15" s="3">
        <f t="shared" si="0"/>
        <v>11</v>
      </c>
      <c r="B15" s="4">
        <v>45726</v>
      </c>
      <c r="C15" s="8" t="s">
        <v>28</v>
      </c>
      <c r="D15" s="8" t="str">
        <f>C15</f>
        <v>Ustadz Rezky</v>
      </c>
      <c r="E15" t="s">
        <v>14</v>
      </c>
      <c r="F15" s="8" t="s">
        <v>28</v>
      </c>
    </row>
    <row r="16" spans="1:4">
      <c r="A16" s="5">
        <f t="shared" si="0"/>
        <v>12</v>
      </c>
      <c r="B16" s="6">
        <v>45727</v>
      </c>
      <c r="C16" s="5"/>
      <c r="D16" s="7" t="s">
        <v>12</v>
      </c>
    </row>
    <row r="17" spans="1:5">
      <c r="A17" s="3">
        <f t="shared" si="0"/>
        <v>13</v>
      </c>
      <c r="B17" s="4">
        <v>45728</v>
      </c>
      <c r="C17" s="3" t="s">
        <v>29</v>
      </c>
      <c r="D17" s="3" t="str">
        <f>C17</f>
        <v>Ustadz Muhammad Asmuni</v>
      </c>
      <c r="E17" t="s">
        <v>14</v>
      </c>
    </row>
    <row r="18" spans="1:4">
      <c r="A18" s="5">
        <f t="shared" si="0"/>
        <v>14</v>
      </c>
      <c r="B18" s="6">
        <v>45729</v>
      </c>
      <c r="C18" s="5"/>
      <c r="D18" s="7" t="s">
        <v>16</v>
      </c>
    </row>
    <row r="19" spans="1:5">
      <c r="A19" s="3">
        <f t="shared" si="0"/>
        <v>15</v>
      </c>
      <c r="B19" s="4">
        <v>45730</v>
      </c>
      <c r="C19" s="8" t="s">
        <v>28</v>
      </c>
      <c r="D19" s="8" t="str">
        <f>C19</f>
        <v>Ustadz Rezky</v>
      </c>
      <c r="E19" t="s">
        <v>14</v>
      </c>
    </row>
    <row r="20" spans="1:4">
      <c r="A20" s="5">
        <f t="shared" si="0"/>
        <v>16</v>
      </c>
      <c r="B20" s="6">
        <v>45731</v>
      </c>
      <c r="C20" s="5"/>
      <c r="D20" s="7" t="s">
        <v>19</v>
      </c>
    </row>
    <row r="21" spans="1:6">
      <c r="A21" s="3">
        <f t="shared" si="0"/>
        <v>17</v>
      </c>
      <c r="B21" s="4">
        <v>45732</v>
      </c>
      <c r="C21" s="8" t="s">
        <v>20</v>
      </c>
      <c r="D21" s="8" t="str">
        <f>C21</f>
        <v>Ustadz Miftahul Hadi</v>
      </c>
      <c r="E21" t="s">
        <v>14</v>
      </c>
      <c r="F21" t="s">
        <v>30</v>
      </c>
    </row>
    <row r="22" spans="1:4">
      <c r="A22" s="5">
        <f t="shared" si="0"/>
        <v>18</v>
      </c>
      <c r="B22" s="6">
        <v>45733</v>
      </c>
      <c r="C22" s="5"/>
      <c r="D22" s="7" t="s">
        <v>22</v>
      </c>
    </row>
    <row r="23" spans="1:5">
      <c r="A23" s="3">
        <f t="shared" si="0"/>
        <v>19</v>
      </c>
      <c r="B23" s="4">
        <v>45734</v>
      </c>
      <c r="C23" s="3" t="s">
        <v>26</v>
      </c>
      <c r="D23" s="3" t="str">
        <f>C23</f>
        <v>Ustadz Chairid Daha</v>
      </c>
      <c r="E23" t="s">
        <v>27</v>
      </c>
    </row>
    <row r="24" spans="1:4">
      <c r="A24" s="5">
        <f t="shared" si="0"/>
        <v>20</v>
      </c>
      <c r="B24" s="6">
        <v>45735</v>
      </c>
      <c r="C24" s="5"/>
      <c r="D24" s="5" t="s">
        <v>4</v>
      </c>
    </row>
    <row r="25" spans="1:5">
      <c r="A25" s="3">
        <f t="shared" si="0"/>
        <v>21</v>
      </c>
      <c r="B25" s="4">
        <v>45736</v>
      </c>
      <c r="C25" s="3" t="s">
        <v>31</v>
      </c>
      <c r="D25" s="3" t="str">
        <f>C25</f>
        <v>Ustadz Ngalal</v>
      </c>
      <c r="E25" t="s">
        <v>14</v>
      </c>
    </row>
    <row r="26" spans="1:4">
      <c r="A26" s="5">
        <f t="shared" si="0"/>
        <v>22</v>
      </c>
      <c r="B26" s="6">
        <v>45737</v>
      </c>
      <c r="C26" s="5"/>
      <c r="D26" s="7" t="s">
        <v>6</v>
      </c>
    </row>
    <row r="27" spans="1:5">
      <c r="A27" s="3">
        <f t="shared" si="0"/>
        <v>23</v>
      </c>
      <c r="B27" s="4">
        <v>45738</v>
      </c>
      <c r="C27" s="3" t="s">
        <v>24</v>
      </c>
      <c r="D27" s="3" t="str">
        <f>C27</f>
        <v>Ustadz Wahidi Rahman</v>
      </c>
      <c r="E27" t="s">
        <v>14</v>
      </c>
    </row>
    <row r="28" spans="1:4">
      <c r="A28" s="5">
        <f t="shared" si="0"/>
        <v>24</v>
      </c>
      <c r="B28" s="6">
        <v>45739</v>
      </c>
      <c r="C28" s="5"/>
      <c r="D28" s="7" t="s">
        <v>12</v>
      </c>
    </row>
    <row r="29" spans="1:6">
      <c r="A29" s="3">
        <f t="shared" si="0"/>
        <v>25</v>
      </c>
      <c r="B29" s="4">
        <v>45740</v>
      </c>
      <c r="C29" s="3" t="s">
        <v>32</v>
      </c>
      <c r="D29" s="3" t="str">
        <f>C29</f>
        <v>Ustadz Imanuddin</v>
      </c>
      <c r="E29" t="s">
        <v>14</v>
      </c>
      <c r="F29" t="s">
        <v>33</v>
      </c>
    </row>
    <row r="30" spans="1:4">
      <c r="A30" s="5">
        <f t="shared" si="0"/>
        <v>26</v>
      </c>
      <c r="B30" s="6">
        <v>45741</v>
      </c>
      <c r="C30" s="5"/>
      <c r="D30" s="7" t="s">
        <v>16</v>
      </c>
    </row>
    <row r="31" spans="1:5">
      <c r="A31" s="3">
        <f t="shared" si="0"/>
        <v>27</v>
      </c>
      <c r="B31" s="4">
        <v>45742</v>
      </c>
      <c r="C31" s="3" t="s">
        <v>20</v>
      </c>
      <c r="D31" s="3" t="str">
        <f>C31</f>
        <v>Ustadz Miftahul Hadi</v>
      </c>
      <c r="E31" t="s">
        <v>14</v>
      </c>
    </row>
    <row r="32" spans="1:4">
      <c r="A32" s="5">
        <f t="shared" si="0"/>
        <v>28</v>
      </c>
      <c r="B32" s="6">
        <v>45743</v>
      </c>
      <c r="C32" s="5"/>
      <c r="D32" s="7" t="s">
        <v>19</v>
      </c>
    </row>
    <row r="33" spans="1:5">
      <c r="A33" s="3">
        <f t="shared" si="0"/>
        <v>29</v>
      </c>
      <c r="B33" s="4">
        <v>45744</v>
      </c>
      <c r="C33" s="3" t="s">
        <v>13</v>
      </c>
      <c r="D33" s="3" t="str">
        <f>C33</f>
        <v>Ustadz Andi Iskandar</v>
      </c>
      <c r="E33" t="s">
        <v>14</v>
      </c>
    </row>
    <row r="34" spans="1:4">
      <c r="A34" s="5">
        <v>30</v>
      </c>
      <c r="B34" s="6">
        <v>45745</v>
      </c>
      <c r="C34" s="5"/>
      <c r="D34" s="5" t="s">
        <v>34</v>
      </c>
    </row>
  </sheetData>
  <mergeCells count="2">
    <mergeCell ref="A1:D1"/>
    <mergeCell ref="A2:D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4"/>
  <sheetViews>
    <sheetView tabSelected="1" topLeftCell="A14" workbookViewId="0">
      <selection activeCell="C30" sqref="C30"/>
    </sheetView>
  </sheetViews>
  <sheetFormatPr defaultColWidth="9.14074074074074" defaultRowHeight="15" outlineLevelCol="4"/>
  <cols>
    <col min="1" max="1" width="13.1111111111111" customWidth="1"/>
    <col min="2" max="2" width="20.7777777777778" customWidth="1"/>
    <col min="3" max="3" width="26.4296296296296" customWidth="1"/>
    <col min="5" max="5" width="33.6666666666667" customWidth="1"/>
  </cols>
  <sheetData>
    <row r="1" spans="1:5">
      <c r="A1" s="1" t="s">
        <v>0</v>
      </c>
      <c r="B1" s="1"/>
      <c r="C1" s="1"/>
      <c r="E1" t="s">
        <v>35</v>
      </c>
    </row>
    <row r="2" spans="1:3">
      <c r="A2" s="1" t="s">
        <v>36</v>
      </c>
      <c r="B2" s="1"/>
      <c r="C2" s="1"/>
    </row>
    <row r="4" spans="1:3">
      <c r="A4" s="2" t="s">
        <v>7</v>
      </c>
      <c r="B4" s="2" t="s">
        <v>8</v>
      </c>
      <c r="C4" s="2" t="s">
        <v>10</v>
      </c>
    </row>
    <row r="5" spans="1:5">
      <c r="A5" s="3">
        <v>1</v>
      </c>
      <c r="B5" s="4">
        <v>45716</v>
      </c>
      <c r="C5" s="3"/>
      <c r="E5" s="3" t="s">
        <v>37</v>
      </c>
    </row>
    <row r="6" spans="1:5">
      <c r="A6" s="5">
        <f t="shared" ref="A6:A33" si="0">A5+1</f>
        <v>2</v>
      </c>
      <c r="B6" s="6">
        <v>45717</v>
      </c>
      <c r="C6" s="5"/>
      <c r="E6" s="5" t="s">
        <v>38</v>
      </c>
    </row>
    <row r="7" spans="1:5">
      <c r="A7" s="3">
        <f t="shared" si="0"/>
        <v>3</v>
      </c>
      <c r="B7" s="4">
        <v>45718</v>
      </c>
      <c r="C7" s="3"/>
      <c r="E7" s="5" t="s">
        <v>39</v>
      </c>
    </row>
    <row r="8" spans="1:5">
      <c r="A8" s="5">
        <f t="shared" si="0"/>
        <v>4</v>
      </c>
      <c r="B8" s="6">
        <v>45719</v>
      </c>
      <c r="C8" s="5" t="s">
        <v>40</v>
      </c>
      <c r="E8" s="5" t="s">
        <v>41</v>
      </c>
    </row>
    <row r="9" spans="1:5">
      <c r="A9" s="3">
        <f t="shared" si="0"/>
        <v>5</v>
      </c>
      <c r="B9" s="4">
        <v>45720</v>
      </c>
      <c r="C9" s="3"/>
      <c r="E9" s="5" t="s">
        <v>42</v>
      </c>
    </row>
    <row r="10" spans="1:5">
      <c r="A10" s="5">
        <f t="shared" si="0"/>
        <v>6</v>
      </c>
      <c r="B10" s="6">
        <v>45721</v>
      </c>
      <c r="C10" s="5"/>
      <c r="E10" s="5" t="s">
        <v>21</v>
      </c>
    </row>
    <row r="11" spans="1:5">
      <c r="A11" s="3">
        <f t="shared" si="0"/>
        <v>7</v>
      </c>
      <c r="B11" s="4">
        <v>45722</v>
      </c>
      <c r="C11" s="3"/>
      <c r="E11" s="5" t="s">
        <v>43</v>
      </c>
    </row>
    <row r="12" spans="1:5">
      <c r="A12" s="5">
        <f t="shared" si="0"/>
        <v>8</v>
      </c>
      <c r="B12" s="6">
        <v>45723</v>
      </c>
      <c r="C12" s="5"/>
      <c r="E12" s="5" t="s">
        <v>44</v>
      </c>
    </row>
    <row r="13" spans="1:5">
      <c r="A13" s="3">
        <f t="shared" si="0"/>
        <v>9</v>
      </c>
      <c r="B13" s="4">
        <v>45724</v>
      </c>
      <c r="C13" s="3"/>
      <c r="E13" s="3" t="s">
        <v>45</v>
      </c>
    </row>
    <row r="14" spans="1:5">
      <c r="A14" s="5">
        <f t="shared" si="0"/>
        <v>10</v>
      </c>
      <c r="B14" s="6">
        <v>45725</v>
      </c>
      <c r="C14" s="5"/>
      <c r="E14" s="3" t="s">
        <v>46</v>
      </c>
    </row>
    <row r="15" spans="1:5">
      <c r="A15" s="3">
        <f t="shared" si="0"/>
        <v>11</v>
      </c>
      <c r="B15" s="4">
        <v>45726</v>
      </c>
      <c r="C15" s="3"/>
      <c r="E15" s="5" t="s">
        <v>47</v>
      </c>
    </row>
    <row r="16" spans="1:5">
      <c r="A16" s="5">
        <f t="shared" si="0"/>
        <v>12</v>
      </c>
      <c r="B16" s="6">
        <v>45727</v>
      </c>
      <c r="C16" s="5"/>
      <c r="E16" s="3" t="s">
        <v>48</v>
      </c>
    </row>
    <row r="17" spans="1:5">
      <c r="A17" s="3">
        <f t="shared" si="0"/>
        <v>13</v>
      </c>
      <c r="B17" s="4">
        <v>45728</v>
      </c>
      <c r="C17" s="3"/>
      <c r="E17" s="3" t="s">
        <v>49</v>
      </c>
    </row>
    <row r="18" spans="1:5">
      <c r="A18" s="5">
        <f t="shared" si="0"/>
        <v>14</v>
      </c>
      <c r="B18" s="6">
        <v>45729</v>
      </c>
      <c r="C18" s="5" t="s">
        <v>40</v>
      </c>
      <c r="E18" s="3" t="s">
        <v>50</v>
      </c>
    </row>
    <row r="19" spans="1:5">
      <c r="A19" s="3">
        <f t="shared" si="0"/>
        <v>15</v>
      </c>
      <c r="B19" s="4">
        <v>45730</v>
      </c>
      <c r="C19" s="3"/>
      <c r="E19" s="3" t="s">
        <v>51</v>
      </c>
    </row>
    <row r="20" spans="1:5">
      <c r="A20" s="5">
        <f t="shared" si="0"/>
        <v>16</v>
      </c>
      <c r="B20" s="6">
        <v>45731</v>
      </c>
      <c r="C20" s="5"/>
      <c r="E20" s="3" t="s">
        <v>52</v>
      </c>
    </row>
    <row r="21" spans="1:5">
      <c r="A21" s="3">
        <f t="shared" si="0"/>
        <v>17</v>
      </c>
      <c r="B21" s="4">
        <v>45732</v>
      </c>
      <c r="C21" s="3"/>
      <c r="E21" s="3" t="s">
        <v>53</v>
      </c>
    </row>
    <row r="22" spans="1:5">
      <c r="A22" s="5">
        <f t="shared" si="0"/>
        <v>18</v>
      </c>
      <c r="B22" s="6">
        <v>45733</v>
      </c>
      <c r="C22" s="5"/>
      <c r="E22" s="5"/>
    </row>
    <row r="23" spans="1:5">
      <c r="A23" s="3">
        <f t="shared" si="0"/>
        <v>19</v>
      </c>
      <c r="B23" s="4">
        <v>45734</v>
      </c>
      <c r="C23" s="3"/>
      <c r="E23" s="3"/>
    </row>
    <row r="24" spans="1:5">
      <c r="A24" s="5">
        <f t="shared" si="0"/>
        <v>20</v>
      </c>
      <c r="B24" s="6">
        <v>45735</v>
      </c>
      <c r="C24" s="5"/>
      <c r="E24" s="5"/>
    </row>
    <row r="25" spans="1:5">
      <c r="A25" s="3">
        <f t="shared" si="0"/>
        <v>21</v>
      </c>
      <c r="B25" s="4">
        <v>45736</v>
      </c>
      <c r="C25" s="3"/>
      <c r="E25" s="5"/>
    </row>
    <row r="26" spans="1:5">
      <c r="A26" s="5">
        <f t="shared" si="0"/>
        <v>22</v>
      </c>
      <c r="B26" s="6">
        <v>45737</v>
      </c>
      <c r="C26" s="5"/>
      <c r="E26" s="5"/>
    </row>
    <row r="27" spans="1:5">
      <c r="A27" s="3">
        <f t="shared" si="0"/>
        <v>23</v>
      </c>
      <c r="B27" s="4">
        <v>45738</v>
      </c>
      <c r="C27" s="3"/>
      <c r="E27" s="3"/>
    </row>
    <row r="28" spans="1:5">
      <c r="A28" s="5">
        <f t="shared" si="0"/>
        <v>24</v>
      </c>
      <c r="B28" s="6">
        <v>45739</v>
      </c>
      <c r="C28" s="5"/>
      <c r="E28" s="5"/>
    </row>
    <row r="29" spans="1:5">
      <c r="A29" s="3">
        <f t="shared" si="0"/>
        <v>25</v>
      </c>
      <c r="B29" s="4">
        <v>45740</v>
      </c>
      <c r="C29" s="3" t="s">
        <v>40</v>
      </c>
      <c r="E29" s="3"/>
    </row>
    <row r="30" spans="1:5">
      <c r="A30" s="5">
        <f t="shared" si="0"/>
        <v>26</v>
      </c>
      <c r="B30" s="6">
        <v>45741</v>
      </c>
      <c r="C30" s="5"/>
      <c r="E30" s="3"/>
    </row>
    <row r="31" spans="1:5">
      <c r="A31" s="3">
        <f t="shared" si="0"/>
        <v>27</v>
      </c>
      <c r="B31" s="4">
        <v>45742</v>
      </c>
      <c r="C31" s="3"/>
      <c r="E31" s="3"/>
    </row>
    <row r="32" spans="1:5">
      <c r="A32" s="5">
        <f t="shared" si="0"/>
        <v>28</v>
      </c>
      <c r="B32" s="6">
        <v>45743</v>
      </c>
      <c r="C32" s="5"/>
      <c r="E32" s="5"/>
    </row>
    <row r="33" spans="1:5">
      <c r="A33" s="3">
        <f t="shared" si="0"/>
        <v>29</v>
      </c>
      <c r="B33" s="4">
        <v>45744</v>
      </c>
      <c r="C33" s="3"/>
      <c r="E33" s="3"/>
    </row>
    <row r="34" spans="1:5">
      <c r="A34" s="5">
        <v>30</v>
      </c>
      <c r="B34" s="6">
        <v>45745</v>
      </c>
      <c r="C34" s="5"/>
      <c r="E34" s="5"/>
    </row>
  </sheetData>
  <sortState ref="E5:E33">
    <sortCondition ref="E5"/>
  </sortState>
  <mergeCells count="2">
    <mergeCell ref="A1:C1"/>
    <mergeCell ref="A2:C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DT</vt:lpstr>
      <vt:lpstr>Pak Gatot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zen</cp:lastModifiedBy>
  <dcterms:created xsi:type="dcterms:W3CDTF">2023-03-29T11:55:00Z</dcterms:created>
  <dcterms:modified xsi:type="dcterms:W3CDTF">2025-01-13T14:29:54Z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3F5182C01F4E4DE0B1E18869394AA63B</vt:lpwstr>
  </property>
  <property fmtid="{D5CDD505-2E9C-101B-9397-08002B2CF9AE}" pid="3" name="KSOProductBuildVer">
    <vt:lpwstr>1033-11.1.0.11719</vt:lpwstr>
  </property>
</Properties>
</file>